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Shared drives\Koru Capital\01.Koru.Advisory Projects\01.Koru.Open\Blackstones Operation _ Vu Only\2.MKT\1. Sản Phảm\Chương Trình Hội Viên\CT Hội viên\"/>
    </mc:Choice>
  </mc:AlternateContent>
  <xr:revisionPtr revIDLastSave="0" documentId="8_{A57C2FEA-E081-440E-B22C-33C4B46C2336}" xr6:coauthVersionLast="47" xr6:coauthVersionMax="47" xr10:uidLastSave="{00000000-0000-0000-0000-000000000000}"/>
  <bookViews>
    <workbookView xWindow="-120" yWindow="-120" windowWidth="29040" windowHeight="15720" activeTab="1" xr2:uid="{43796B1A-8517-49B9-A28E-DFE76E6C7ED5}"/>
  </bookViews>
  <sheets>
    <sheet name="Th3" sheetId="3" r:id="rId1"/>
    <sheet name="Cohort" sheetId="2" r:id="rId2"/>
  </sheet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8" i="2" l="1"/>
  <c r="T44" i="2"/>
  <c r="U44" i="2" s="1"/>
  <c r="U45" i="2" s="1"/>
  <c r="D4" i="2"/>
  <c r="C1" i="2"/>
  <c r="W80" i="2"/>
  <c r="X80" i="2" s="1"/>
  <c r="Y80" i="2" s="1"/>
  <c r="W72" i="2"/>
  <c r="X72" i="2" s="1"/>
  <c r="Y72" i="2" s="1"/>
  <c r="AA48" i="2"/>
  <c r="Z48" i="2"/>
  <c r="Y48" i="2"/>
  <c r="C3" i="2"/>
  <c r="S44" i="2" s="1"/>
  <c r="S45" i="2" s="1"/>
  <c r="S53" i="2"/>
  <c r="S60" i="2"/>
  <c r="T60" i="2" s="1"/>
  <c r="U60" i="2" s="1"/>
  <c r="V60" i="2" s="1"/>
  <c r="W60" i="2" s="1"/>
  <c r="X60" i="2" s="1"/>
  <c r="Y60" i="2" s="1"/>
  <c r="Z60" i="2" s="1"/>
  <c r="AA60" i="2" s="1"/>
  <c r="S61" i="2"/>
  <c r="T61" i="2" s="1"/>
  <c r="U61" i="2" s="1"/>
  <c r="V61" i="2" s="1"/>
  <c r="W61" i="2" s="1"/>
  <c r="X61" i="2" s="1"/>
  <c r="Y61" i="2" s="1"/>
  <c r="Z61" i="2" s="1"/>
  <c r="AA61" i="2" s="1"/>
  <c r="S47" i="2"/>
  <c r="T43" i="2"/>
  <c r="U43" i="2" s="1"/>
  <c r="V43" i="2" s="1"/>
  <c r="W43" i="2" s="1"/>
  <c r="X43" i="2" s="1"/>
  <c r="Y43" i="2" s="1"/>
  <c r="Z43" i="2" s="1"/>
  <c r="AA43" i="2" s="1"/>
  <c r="U55" i="2" l="1"/>
  <c r="S55" i="2"/>
  <c r="U54" i="2"/>
  <c r="S54" i="2"/>
  <c r="V44" i="2"/>
  <c r="T45" i="2"/>
  <c r="D3" i="2"/>
  <c r="E3" i="2" s="1"/>
  <c r="F3" i="2" s="1"/>
  <c r="G3" i="2" s="1"/>
  <c r="H3" i="2" s="1"/>
  <c r="I3" i="2" s="1"/>
  <c r="J3" i="2" s="1"/>
  <c r="K3" i="2" s="1"/>
  <c r="S48" i="2"/>
  <c r="S50" i="2" s="1"/>
  <c r="S57" i="2" l="1"/>
  <c r="S58" i="2" s="1"/>
  <c r="S63" i="2" s="1"/>
  <c r="T55" i="2"/>
  <c r="T54" i="2"/>
  <c r="W44" i="2"/>
  <c r="V45" i="2"/>
  <c r="D32" i="2"/>
  <c r="V55" i="2" l="1"/>
  <c r="V54" i="2"/>
  <c r="X44" i="2"/>
  <c r="Y44" i="2" s="1"/>
  <c r="Z44" i="2" s="1"/>
  <c r="AA44" i="2" s="1"/>
  <c r="W45" i="2"/>
  <c r="U48" i="2"/>
  <c r="T48" i="2"/>
  <c r="X48" i="2"/>
  <c r="W48" i="2"/>
  <c r="V48" i="2"/>
  <c r="W55" i="2" l="1"/>
  <c r="W54" i="2"/>
  <c r="C32" i="2"/>
  <c r="C45" i="2" s="1"/>
  <c r="K26" i="2"/>
  <c r="V11" i="3"/>
  <c r="V10" i="3"/>
  <c r="V9" i="3"/>
  <c r="V8" i="3"/>
  <c r="V7" i="3"/>
  <c r="V6" i="3"/>
  <c r="V5" i="3"/>
  <c r="U12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4" i="3"/>
  <c r="E5" i="2" l="1"/>
  <c r="E34" i="2" s="1"/>
  <c r="E47" i="2" s="1"/>
  <c r="D33" i="2"/>
  <c r="D46" i="2" s="1"/>
  <c r="E4" i="2"/>
  <c r="F32" i="2"/>
  <c r="F45" i="2" s="1"/>
  <c r="E32" i="2"/>
  <c r="E45" i="2" s="1"/>
  <c r="D45" i="2"/>
  <c r="D13" i="2"/>
  <c r="T46" i="2" s="1"/>
  <c r="T53" i="2" l="1"/>
  <c r="E33" i="2"/>
  <c r="E46" i="2" s="1"/>
  <c r="E55" i="2" s="1"/>
  <c r="F4" i="2"/>
  <c r="F33" i="2" s="1"/>
  <c r="F46" i="2" s="1"/>
  <c r="F6" i="2"/>
  <c r="F5" i="2"/>
  <c r="G32" i="2"/>
  <c r="G45" i="2" s="1"/>
  <c r="D55" i="2"/>
  <c r="T47" i="2" s="1"/>
  <c r="E13" i="2"/>
  <c r="U46" i="2" s="1"/>
  <c r="T50" i="2" l="1"/>
  <c r="X45" i="2"/>
  <c r="U47" i="2"/>
  <c r="U53" i="2"/>
  <c r="F34" i="2"/>
  <c r="F47" i="2" s="1"/>
  <c r="G5" i="2"/>
  <c r="G34" i="2" s="1"/>
  <c r="G47" i="2" s="1"/>
  <c r="G6" i="2"/>
  <c r="F35" i="2"/>
  <c r="F48" i="2" s="1"/>
  <c r="G7" i="2"/>
  <c r="G4" i="2"/>
  <c r="H32" i="2"/>
  <c r="H45" i="2" s="1"/>
  <c r="F13" i="2"/>
  <c r="V46" i="2" s="1"/>
  <c r="T56" i="2" l="1"/>
  <c r="T57" i="2" s="1"/>
  <c r="T58" i="2" s="1"/>
  <c r="T63" i="2" s="1"/>
  <c r="X55" i="2"/>
  <c r="X54" i="2"/>
  <c r="U50" i="2"/>
  <c r="Y45" i="2"/>
  <c r="V53" i="2"/>
  <c r="F55" i="2"/>
  <c r="V47" i="2" s="1"/>
  <c r="H4" i="2"/>
  <c r="H33" i="2" s="1"/>
  <c r="H46" i="2" s="1"/>
  <c r="H7" i="2"/>
  <c r="H36" i="2" s="1"/>
  <c r="H49" i="2" s="1"/>
  <c r="G36" i="2"/>
  <c r="G49" i="2" s="1"/>
  <c r="H8" i="2"/>
  <c r="H6" i="2"/>
  <c r="H35" i="2" s="1"/>
  <c r="H48" i="2" s="1"/>
  <c r="G35" i="2"/>
  <c r="G48" i="2" s="1"/>
  <c r="H5" i="2"/>
  <c r="H34" i="2" s="1"/>
  <c r="H47" i="2" s="1"/>
  <c r="G33" i="2"/>
  <c r="G46" i="2" s="1"/>
  <c r="I32" i="2"/>
  <c r="I45" i="2" s="1"/>
  <c r="G13" i="2"/>
  <c r="W46" i="2" s="1"/>
  <c r="U56" i="2" l="1"/>
  <c r="U57" i="2" s="1"/>
  <c r="U58" i="2" s="1"/>
  <c r="U63" i="2" s="1"/>
  <c r="Y55" i="2"/>
  <c r="Y54" i="2"/>
  <c r="V50" i="2"/>
  <c r="Z45" i="2"/>
  <c r="W53" i="2"/>
  <c r="G55" i="2"/>
  <c r="W47" i="2" s="1"/>
  <c r="I7" i="2"/>
  <c r="I36" i="2" s="1"/>
  <c r="I49" i="2" s="1"/>
  <c r="I6" i="2"/>
  <c r="J6" i="2" s="1"/>
  <c r="K6" i="2" s="1"/>
  <c r="I8" i="2"/>
  <c r="H37" i="2"/>
  <c r="H50" i="2" s="1"/>
  <c r="H55" i="2" s="1"/>
  <c r="I9" i="2"/>
  <c r="I5" i="2"/>
  <c r="I34" i="2" s="1"/>
  <c r="I47" i="2" s="1"/>
  <c r="I4" i="2"/>
  <c r="I33" i="2" s="1"/>
  <c r="I46" i="2" s="1"/>
  <c r="J32" i="2"/>
  <c r="J45" i="2" s="1"/>
  <c r="H13" i="2"/>
  <c r="X46" i="2" s="1"/>
  <c r="V56" i="2" l="1"/>
  <c r="V57" i="2" s="1"/>
  <c r="V58" i="2" s="1"/>
  <c r="V63" i="2" s="1"/>
  <c r="Z55" i="2"/>
  <c r="Z54" i="2"/>
  <c r="W50" i="2"/>
  <c r="AA45" i="2"/>
  <c r="I35" i="2"/>
  <c r="I48" i="2" s="1"/>
  <c r="J35" i="2"/>
  <c r="J48" i="2" s="1"/>
  <c r="X53" i="2"/>
  <c r="J9" i="2"/>
  <c r="J38" i="2" s="1"/>
  <c r="J51" i="2" s="1"/>
  <c r="J10" i="2"/>
  <c r="I38" i="2"/>
  <c r="I51" i="2" s="1"/>
  <c r="J4" i="2"/>
  <c r="J33" i="2" s="1"/>
  <c r="J46" i="2" s="1"/>
  <c r="J8" i="2"/>
  <c r="J37" i="2" s="1"/>
  <c r="J50" i="2" s="1"/>
  <c r="J5" i="2"/>
  <c r="J34" i="2" s="1"/>
  <c r="J47" i="2" s="1"/>
  <c r="J7" i="2"/>
  <c r="J36" i="2" s="1"/>
  <c r="J49" i="2" s="1"/>
  <c r="I37" i="2"/>
  <c r="I50" i="2" s="1"/>
  <c r="K35" i="2"/>
  <c r="K48" i="2" s="1"/>
  <c r="K32" i="2"/>
  <c r="X47" i="2"/>
  <c r="X50" i="2" s="1"/>
  <c r="X56" i="2" s="1"/>
  <c r="I13" i="2"/>
  <c r="Y46" i="2" s="1"/>
  <c r="Y53" i="2" s="1"/>
  <c r="W56" i="2" l="1"/>
  <c r="W57" i="2" s="1"/>
  <c r="W58" i="2" s="1"/>
  <c r="W63" i="2" s="1"/>
  <c r="X57" i="2"/>
  <c r="X58" i="2" s="1"/>
  <c r="X63" i="2" s="1"/>
  <c r="AA55" i="2"/>
  <c r="AA54" i="2"/>
  <c r="I55" i="2"/>
  <c r="Y47" i="2" s="1"/>
  <c r="Y50" i="2" s="1"/>
  <c r="K8" i="2"/>
  <c r="K37" i="2" s="1"/>
  <c r="K50" i="2" s="1"/>
  <c r="K4" i="2"/>
  <c r="K33" i="2" s="1"/>
  <c r="K7" i="2"/>
  <c r="K36" i="2" s="1"/>
  <c r="K49" i="2" s="1"/>
  <c r="K10" i="2"/>
  <c r="K39" i="2" s="1"/>
  <c r="K52" i="2" s="1"/>
  <c r="J39" i="2"/>
  <c r="J52" i="2" s="1"/>
  <c r="J55" i="2" s="1"/>
  <c r="K11" i="2"/>
  <c r="K40" i="2" s="1"/>
  <c r="K53" i="2" s="1"/>
  <c r="K5" i="2"/>
  <c r="K34" i="2" s="1"/>
  <c r="K47" i="2" s="1"/>
  <c r="K9" i="2"/>
  <c r="K38" i="2" s="1"/>
  <c r="K51" i="2" s="1"/>
  <c r="K45" i="2"/>
  <c r="J13" i="2"/>
  <c r="Z46" i="2" s="1"/>
  <c r="Z53" i="2" s="1"/>
  <c r="Y56" i="2" l="1"/>
  <c r="Y57" i="2" s="1"/>
  <c r="Y58" i="2" s="1"/>
  <c r="Y63" i="2" s="1"/>
  <c r="Z47" i="2"/>
  <c r="Z50" i="2" s="1"/>
  <c r="K13" i="2"/>
  <c r="AA46" i="2" s="1"/>
  <c r="S67" i="2" s="1"/>
  <c r="K46" i="2"/>
  <c r="K55" i="2" s="1"/>
  <c r="Z56" i="2" l="1"/>
  <c r="Z57" i="2" s="1"/>
  <c r="Z58" i="2" s="1"/>
  <c r="Z63" i="2" s="1"/>
  <c r="AA47" i="2"/>
  <c r="AA50" i="2" s="1"/>
  <c r="AA56" i="2" s="1"/>
  <c r="AA53" i="2"/>
  <c r="S80" i="2"/>
  <c r="AA57" i="2" l="1"/>
  <c r="AA58" i="2" s="1"/>
  <c r="AA63" i="2" s="1"/>
  <c r="S66" i="2" s="1"/>
  <c r="S72" i="2" s="1"/>
</calcChain>
</file>

<file path=xl/sharedStrings.xml><?xml version="1.0" encoding="utf-8"?>
<sst xmlns="http://schemas.openxmlformats.org/spreadsheetml/2006/main" count="398" uniqueCount="119">
  <si>
    <t>%</t>
  </si>
  <si>
    <t>CHƯƠNG TRÌNH HỘI VIÊN</t>
  </si>
  <si>
    <t>Giả định doanh số</t>
  </si>
  <si>
    <t>Phí hội viên</t>
  </si>
  <si>
    <t>Số hội viên mỗi năm</t>
  </si>
  <si>
    <t>Đơn vị</t>
  </si>
  <si>
    <t>Người</t>
  </si>
  <si>
    <t>Register day</t>
  </si>
  <si>
    <t>Number of memebership</t>
  </si>
  <si>
    <t>Tỷ lệ convert mỗi năm</t>
  </si>
  <si>
    <t>Tỷ lệ chuyển đổi đám mỗi năm</t>
  </si>
  <si>
    <t>STT</t>
  </si>
  <si>
    <t>NGÀY</t>
  </si>
  <si>
    <t>THÁNG</t>
  </si>
  <si>
    <t>MÃ ĐÁM</t>
  </si>
  <si>
    <t>LOẠI</t>
  </si>
  <si>
    <t>CHI NHÁNH</t>
  </si>
  <si>
    <t>28/02/2026</t>
  </si>
  <si>
    <t>Chôn CC - HCM</t>
  </si>
  <si>
    <t>CN1</t>
  </si>
  <si>
    <t>Đi nhanh</t>
  </si>
  <si>
    <t>CN2</t>
  </si>
  <si>
    <t>Thiêu TC - HCM</t>
  </si>
  <si>
    <t>Gói Hồi Hương</t>
  </si>
  <si>
    <t>Thiêu CC - HCM</t>
  </si>
  <si>
    <t>Thiêu TLV39</t>
  </si>
  <si>
    <t>Chôn ĐB - HCM</t>
  </si>
  <si>
    <t>Chôn TC - HCM</t>
  </si>
  <si>
    <t>Thiêu Phước Tịnh</t>
  </si>
  <si>
    <t>CN3</t>
  </si>
  <si>
    <t>BL2612</t>
  </si>
  <si>
    <t>Lẻ (Hũ, xe...)</t>
  </si>
  <si>
    <t>BL2611</t>
  </si>
  <si>
    <t>Thiêu TLV49</t>
  </si>
  <si>
    <t>13/03/2026</t>
  </si>
  <si>
    <t>14/03/2026</t>
  </si>
  <si>
    <t>15/03/2026</t>
  </si>
  <si>
    <t>16/03/2026</t>
  </si>
  <si>
    <t>17/03/2026</t>
  </si>
  <si>
    <t>Chôn TLV49</t>
  </si>
  <si>
    <t>18/03/2026</t>
  </si>
  <si>
    <t>BL2613</t>
  </si>
  <si>
    <t>19/03/2026</t>
  </si>
  <si>
    <t>20/03/2026</t>
  </si>
  <si>
    <t>21/03/2026</t>
  </si>
  <si>
    <t>22/03/2026</t>
  </si>
  <si>
    <t>Thiêu TLV69</t>
  </si>
  <si>
    <t>23/03/2026</t>
  </si>
  <si>
    <t>24/03/2026</t>
  </si>
  <si>
    <t>BL2614</t>
  </si>
  <si>
    <t>25/03/2026</t>
  </si>
  <si>
    <t>28/03/2026</t>
  </si>
  <si>
    <t>Chôn TLV59</t>
  </si>
  <si>
    <t>29/03/2026</t>
  </si>
  <si>
    <t>31/03/2026</t>
  </si>
  <si>
    <t>BL2616</t>
  </si>
  <si>
    <t>BL2617</t>
  </si>
  <si>
    <t>Chôn TLV79</t>
  </si>
  <si>
    <t>Chôn Phước Tịnh</t>
  </si>
  <si>
    <t>Chôn TLV39</t>
  </si>
  <si>
    <t>Gói Cải Táng</t>
  </si>
  <si>
    <t>Thiêu ĐB - HCM</t>
  </si>
  <si>
    <t>Row Labels</t>
  </si>
  <si>
    <t>#N/A</t>
  </si>
  <si>
    <t>Grand Total</t>
  </si>
  <si>
    <t>Count of Chôn CC - HCM</t>
  </si>
  <si>
    <t>% ĐB</t>
  </si>
  <si>
    <t>%CC</t>
  </si>
  <si>
    <t>%TC</t>
  </si>
  <si>
    <t>%TLV</t>
  </si>
  <si>
    <t>Day of membership</t>
  </si>
  <si>
    <t>Giả định chi phí</t>
  </si>
  <si>
    <t>Chi phí PTTT</t>
  </si>
  <si>
    <t>Tỷ lệ discount</t>
  </si>
  <si>
    <t>Quy đổi đám</t>
  </si>
  <si>
    <t>Quy đổi đám sau giảm</t>
  </si>
  <si>
    <t>Đơn giá ĐB</t>
  </si>
  <si>
    <t>Đơn giá CC</t>
  </si>
  <si>
    <t>Đơn giá TC</t>
  </si>
  <si>
    <t>Đơn giá TLV</t>
  </si>
  <si>
    <t>VNDm</t>
  </si>
  <si>
    <t>Mỗi năm</t>
  </si>
  <si>
    <t>Tháng</t>
  </si>
  <si>
    <t>Chi phí Marketing</t>
  </si>
  <si>
    <t>Hệ thống CRM</t>
  </si>
  <si>
    <t>Chi phí Chăm sóc khách hàng</t>
  </si>
  <si>
    <t>Y0</t>
  </si>
  <si>
    <t>Y1</t>
  </si>
  <si>
    <t>Y2</t>
  </si>
  <si>
    <t>Y3</t>
  </si>
  <si>
    <t>Y4</t>
  </si>
  <si>
    <t>Y5</t>
  </si>
  <si>
    <t>Doanh thu từ DVTL</t>
  </si>
  <si>
    <t>Doanh thu từ Membership</t>
  </si>
  <si>
    <t>Giá hội viên</t>
  </si>
  <si>
    <t>Số đám làm mỗi năm</t>
  </si>
  <si>
    <t>Tổng doanh thu</t>
  </si>
  <si>
    <t>Chi phí DVTL</t>
  </si>
  <si>
    <t>% tăng chi phí mỗi năm</t>
  </si>
  <si>
    <t>Lợi nhuận</t>
  </si>
  <si>
    <t>Số hội viên</t>
  </si>
  <si>
    <t>TỔng lợi nhuận</t>
  </si>
  <si>
    <t>Y6</t>
  </si>
  <si>
    <t>Y7</t>
  </si>
  <si>
    <t>Y8</t>
  </si>
  <si>
    <t>Tổng đám TB mỗi năm</t>
  </si>
  <si>
    <t>Year</t>
  </si>
  <si>
    <t>Chi phí bán hàng</t>
  </si>
  <si>
    <t>GMV</t>
  </si>
  <si>
    <t>Tổng Biến Phí</t>
  </si>
  <si>
    <t>GP</t>
  </si>
  <si>
    <t>CF</t>
  </si>
  <si>
    <t>Chi phí bán hàng/doanh thu</t>
  </si>
  <si>
    <t>Chi phí Marketing/GMV</t>
  </si>
  <si>
    <t>Chi phí PTTT/GMV</t>
  </si>
  <si>
    <t>Chi phí Discount /doanh thu</t>
  </si>
  <si>
    <t>% chi phí tang lễ + discount average/doanh thu</t>
  </si>
  <si>
    <t>*Doanh thu = khi làm đám</t>
  </si>
  <si>
    <t>*GMV = giá gói tạm tính tại lúc ký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</si>
</sst>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  <numFmt numFmtId="166" formatCode="_(* #,##0.0_);_(* \(#,##0.0\);_(* &quot;-&quot;?_);_(@_)"/>
    <numFmt numFmtId="170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3D3D3D"/>
      <name val="Times New Roman"/>
      <family val="1"/>
    </font>
    <font>
      <sz val="11"/>
      <color rgb="FFF63219"/>
      <name val="Times New Roman"/>
      <family val="1"/>
    </font>
    <font>
      <sz val="11"/>
      <color rgb="FF3D3D3D"/>
      <name val="Times New Roman"/>
      <family val="1"/>
    </font>
    <font>
      <sz val="11"/>
      <color rgb="FFD4EDBC"/>
      <name val="Times New Roman"/>
      <family val="1"/>
    </font>
    <font>
      <sz val="11"/>
      <color rgb="FFFF0000"/>
      <name val="Times New Roman"/>
      <family val="1"/>
    </font>
    <font>
      <b/>
      <sz val="11"/>
      <color rgb="FF0A53A8"/>
      <name val="Times New Roman"/>
      <family val="1"/>
    </font>
    <font>
      <sz val="11"/>
      <color rgb="FF0432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432FF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4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10D0D"/>
        <bgColor indexed="64"/>
      </patternFill>
    </fill>
    <fill>
      <patternFill patternType="solid">
        <fgColor rgb="FF11734B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BFE1F6"/>
        <bgColor indexed="64"/>
      </patternFill>
    </fill>
    <fill>
      <patternFill patternType="solid">
        <fgColor rgb="FFE50A0A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5">
    <xf numFmtId="0" fontId="0" fillId="0" borderId="0" xfId="0"/>
    <xf numFmtId="165" fontId="0" fillId="0" borderId="0" xfId="1" applyNumberFormat="1" applyFont="1"/>
    <xf numFmtId="9" fontId="0" fillId="0" borderId="0" xfId="0" applyNumberFormat="1"/>
    <xf numFmtId="0" fontId="4" fillId="0" borderId="6" xfId="0" applyFont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0" fillId="6" borderId="7" xfId="0" applyFill="1" applyBorder="1" applyAlignment="1">
      <alignment vertical="center"/>
    </xf>
    <xf numFmtId="0" fontId="3" fillId="6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14" fontId="4" fillId="6" borderId="7" xfId="0" applyNumberFormat="1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0" fillId="0" borderId="7" xfId="0" applyBorder="1"/>
    <xf numFmtId="0" fontId="4" fillId="0" borderId="7" xfId="0" applyFont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3" fillId="10" borderId="2" xfId="0" applyFont="1" applyFill="1" applyBorder="1" applyAlignment="1">
      <alignment horizontal="center" wrapText="1"/>
    </xf>
    <xf numFmtId="0" fontId="0" fillId="0" borderId="8" xfId="0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10" borderId="6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wrapText="1"/>
    </xf>
    <xf numFmtId="0" fontId="10" fillId="13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NumberFormat="1" applyFont="1"/>
    <xf numFmtId="0" fontId="2" fillId="0" borderId="0" xfId="0" applyFont="1"/>
    <xf numFmtId="165" fontId="0" fillId="4" borderId="0" xfId="1" applyNumberFormat="1" applyFont="1" applyFill="1"/>
    <xf numFmtId="165" fontId="0" fillId="0" borderId="0" xfId="1" applyNumberFormat="1" applyFont="1" applyFill="1"/>
    <xf numFmtId="166" fontId="0" fillId="0" borderId="0" xfId="0" applyNumberFormat="1"/>
    <xf numFmtId="165" fontId="0" fillId="0" borderId="0" xfId="0" applyNumberFormat="1"/>
    <xf numFmtId="0" fontId="0" fillId="0" borderId="0" xfId="0" applyAlignment="1">
      <alignment textRotation="90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center"/>
    </xf>
    <xf numFmtId="41" fontId="11" fillId="0" borderId="1" xfId="2" applyFont="1" applyFill="1" applyBorder="1" applyAlignment="1">
      <alignment horizontal="center"/>
    </xf>
    <xf numFmtId="0" fontId="12" fillId="0" borderId="1" xfId="0" applyFont="1" applyBorder="1" applyAlignment="1">
      <alignment horizontal="left" indent="2"/>
    </xf>
    <xf numFmtId="9" fontId="12" fillId="0" borderId="1" xfId="0" applyNumberFormat="1" applyFont="1" applyBorder="1" applyAlignment="1">
      <alignment horizontal="center"/>
    </xf>
    <xf numFmtId="9" fontId="13" fillId="4" borderId="0" xfId="2" applyNumberFormat="1" applyFont="1" applyFill="1" applyBorder="1" applyAlignment="1">
      <alignment horizontal="center"/>
    </xf>
    <xf numFmtId="0" fontId="0" fillId="0" borderId="9" xfId="0" applyBorder="1" applyAlignment="1">
      <alignment horizontal="left"/>
    </xf>
    <xf numFmtId="165" fontId="13" fillId="4" borderId="0" xfId="1" applyNumberFormat="1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2" fillId="15" borderId="0" xfId="0" applyFont="1" applyFill="1" applyAlignment="1">
      <alignment horizontal="center"/>
    </xf>
    <xf numFmtId="0" fontId="0" fillId="0" borderId="0" xfId="0" applyAlignment="1">
      <alignment horizontal="center" vertical="center" textRotation="90" wrapText="1"/>
    </xf>
    <xf numFmtId="9" fontId="11" fillId="0" borderId="1" xfId="2" applyNumberFormat="1" applyFont="1" applyFill="1" applyBorder="1" applyAlignment="1">
      <alignment horizontal="right"/>
    </xf>
    <xf numFmtId="9" fontId="13" fillId="4" borderId="1" xfId="2" applyNumberFormat="1" applyFont="1" applyFill="1" applyBorder="1" applyAlignment="1">
      <alignment horizontal="right"/>
    </xf>
    <xf numFmtId="0" fontId="2" fillId="15" borderId="0" xfId="0" applyFont="1" applyFill="1" applyAlignment="1">
      <alignment horizontal="center"/>
    </xf>
    <xf numFmtId="0" fontId="0" fillId="0" borderId="0" xfId="0" applyAlignment="1">
      <alignment horizontal="center" vertical="center" textRotation="90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165" fontId="2" fillId="0" borderId="0" xfId="1" applyNumberFormat="1" applyFont="1"/>
    <xf numFmtId="9" fontId="0" fillId="4" borderId="0" xfId="0" applyNumberFormat="1" applyFill="1"/>
    <xf numFmtId="41" fontId="11" fillId="4" borderId="1" xfId="2" applyFont="1" applyFill="1" applyBorder="1" applyAlignment="1">
      <alignment horizontal="center"/>
    </xf>
    <xf numFmtId="165" fontId="14" fillId="0" borderId="0" xfId="1" applyNumberFormat="1" applyFont="1" applyFill="1"/>
    <xf numFmtId="165" fontId="14" fillId="0" borderId="0" xfId="1" applyNumberFormat="1" applyFont="1"/>
    <xf numFmtId="9" fontId="11" fillId="4" borderId="1" xfId="2" applyNumberFormat="1" applyFont="1" applyFill="1" applyBorder="1" applyAlignment="1">
      <alignment horizontal="center"/>
    </xf>
    <xf numFmtId="9" fontId="13" fillId="4" borderId="0" xfId="1" applyNumberFormat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1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9" fontId="0" fillId="0" borderId="0" xfId="0" applyNumberFormat="1" applyFill="1" applyBorder="1" applyAlignment="1">
      <alignment horizontal="center"/>
    </xf>
    <xf numFmtId="41" fontId="11" fillId="0" borderId="0" xfId="2" applyFont="1" applyFill="1" applyBorder="1" applyAlignment="1">
      <alignment horizontal="center"/>
    </xf>
    <xf numFmtId="9" fontId="11" fillId="0" borderId="0" xfId="2" applyNumberFormat="1" applyFont="1" applyFill="1" applyBorder="1" applyAlignment="1">
      <alignment horizontal="right"/>
    </xf>
    <xf numFmtId="0" fontId="0" fillId="0" borderId="0" xfId="0" applyFill="1"/>
    <xf numFmtId="9" fontId="0" fillId="0" borderId="0" xfId="0" applyNumberFormat="1" applyFill="1"/>
    <xf numFmtId="164" fontId="2" fillId="0" borderId="0" xfId="1" applyNumberFormat="1" applyFont="1" applyFill="1" applyBorder="1" applyAlignment="1">
      <alignment horizontal="center"/>
    </xf>
    <xf numFmtId="9" fontId="11" fillId="0" borderId="0" xfId="2" applyNumberFormat="1" applyFont="1" applyFill="1" applyBorder="1" applyAlignment="1">
      <alignment horizontal="center"/>
    </xf>
    <xf numFmtId="9" fontId="13" fillId="0" borderId="0" xfId="2" applyNumberFormat="1" applyFont="1" applyFill="1" applyBorder="1" applyAlignment="1">
      <alignment horizontal="right"/>
    </xf>
    <xf numFmtId="9" fontId="13" fillId="0" borderId="1" xfId="2" applyNumberFormat="1" applyFont="1" applyFill="1" applyBorder="1" applyAlignment="1">
      <alignment horizontal="right"/>
    </xf>
    <xf numFmtId="9" fontId="13" fillId="0" borderId="0" xfId="2" applyNumberFormat="1" applyFont="1" applyFill="1" applyBorder="1" applyAlignment="1">
      <alignment horizontal="center"/>
    </xf>
    <xf numFmtId="165" fontId="13" fillId="0" borderId="0" xfId="1" applyNumberFormat="1" applyFont="1" applyFill="1" applyBorder="1" applyAlignment="1">
      <alignment horizontal="center"/>
    </xf>
    <xf numFmtId="9" fontId="13" fillId="0" borderId="0" xfId="1" applyNumberFormat="1" applyFont="1" applyFill="1" applyBorder="1" applyAlignment="1">
      <alignment horizontal="center"/>
    </xf>
    <xf numFmtId="41" fontId="0" fillId="0" borderId="0" xfId="0" applyNumberFormat="1"/>
    <xf numFmtId="170" fontId="13" fillId="4" borderId="0" xfId="1" applyNumberFormat="1" applyFont="1" applyFill="1" applyBorder="1" applyAlignment="1">
      <alignment horizontal="right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19.64285960648" createdVersion="8" refreshedVersion="8" minRefreshableVersion="3" recordCount="76" xr:uid="{EC9873B1-8A80-4457-9E0D-4864E136CA2C}">
  <cacheSource type="worksheet">
    <worksheetSource ref="G4:G80" sheet="Th3"/>
  </cacheSource>
  <cacheFields count="1">
    <cacheField name="Chôn CC - HCM" numFmtId="0">
      <sharedItems count="8">
        <e v="#N/A"/>
        <s v="Chôn TC - HCM"/>
        <s v="Chôn CC - HCM"/>
        <s v="Chôn TLV39"/>
        <s v="Chôn ĐB - HCM"/>
        <s v="Chôn Phước Tịnh"/>
        <s v="Chôn TLV79"/>
        <s v="Chôn TLV5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x v="0"/>
  </r>
  <r>
    <x v="1"/>
  </r>
  <r>
    <x v="0"/>
  </r>
  <r>
    <x v="2"/>
  </r>
  <r>
    <x v="3"/>
  </r>
  <r>
    <x v="2"/>
  </r>
  <r>
    <x v="4"/>
  </r>
  <r>
    <x v="2"/>
  </r>
  <r>
    <x v="4"/>
  </r>
  <r>
    <x v="4"/>
  </r>
  <r>
    <x v="2"/>
  </r>
  <r>
    <x v="4"/>
  </r>
  <r>
    <x v="1"/>
  </r>
  <r>
    <x v="1"/>
  </r>
  <r>
    <x v="3"/>
  </r>
  <r>
    <x v="2"/>
  </r>
  <r>
    <x v="1"/>
  </r>
  <r>
    <x v="5"/>
  </r>
  <r>
    <x v="2"/>
  </r>
  <r>
    <x v="0"/>
  </r>
  <r>
    <x v="2"/>
  </r>
  <r>
    <x v="0"/>
  </r>
  <r>
    <x v="0"/>
  </r>
  <r>
    <x v="2"/>
  </r>
  <r>
    <x v="2"/>
  </r>
  <r>
    <x v="1"/>
  </r>
  <r>
    <x v="2"/>
  </r>
  <r>
    <x v="1"/>
  </r>
  <r>
    <x v="2"/>
  </r>
  <r>
    <x v="1"/>
  </r>
  <r>
    <x v="2"/>
  </r>
  <r>
    <x v="2"/>
  </r>
  <r>
    <x v="1"/>
  </r>
  <r>
    <x v="0"/>
  </r>
  <r>
    <x v="0"/>
  </r>
  <r>
    <x v="2"/>
  </r>
  <r>
    <x v="2"/>
  </r>
  <r>
    <x v="1"/>
  </r>
  <r>
    <x v="1"/>
  </r>
  <r>
    <x v="2"/>
  </r>
  <r>
    <x v="1"/>
  </r>
  <r>
    <x v="1"/>
  </r>
  <r>
    <x v="3"/>
  </r>
  <r>
    <x v="2"/>
  </r>
  <r>
    <x v="1"/>
  </r>
  <r>
    <x v="2"/>
  </r>
  <r>
    <x v="0"/>
  </r>
  <r>
    <x v="4"/>
  </r>
  <r>
    <x v="2"/>
  </r>
  <r>
    <x v="4"/>
  </r>
  <r>
    <x v="1"/>
  </r>
  <r>
    <x v="2"/>
  </r>
  <r>
    <x v="1"/>
  </r>
  <r>
    <x v="1"/>
  </r>
  <r>
    <x v="6"/>
  </r>
  <r>
    <x v="1"/>
  </r>
  <r>
    <x v="2"/>
  </r>
  <r>
    <x v="1"/>
  </r>
  <r>
    <x v="1"/>
  </r>
  <r>
    <x v="5"/>
  </r>
  <r>
    <x v="0"/>
  </r>
  <r>
    <x v="3"/>
  </r>
  <r>
    <x v="1"/>
  </r>
  <r>
    <x v="3"/>
  </r>
  <r>
    <x v="7"/>
  </r>
  <r>
    <x v="3"/>
  </r>
  <r>
    <x v="2"/>
  </r>
  <r>
    <x v="6"/>
  </r>
  <r>
    <x v="1"/>
  </r>
  <r>
    <x v="2"/>
  </r>
  <r>
    <x v="3"/>
  </r>
  <r>
    <x v="0"/>
  </r>
  <r>
    <x v="0"/>
  </r>
  <r>
    <x v="0"/>
  </r>
  <r>
    <x v="0"/>
  </r>
  <r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D0B77-2333-4560-97EE-37837C87344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4:R13" firstHeaderRow="1" firstDataRow="1" firstDataCol="1"/>
  <pivotFields count="1">
    <pivotField axis="axisRow" dataField="1" showAll="0">
      <items count="9">
        <item x="2"/>
        <item x="4"/>
        <item x="5"/>
        <item x="1"/>
        <item x="3"/>
        <item x="7"/>
        <item x="6"/>
        <item x="0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hôn CC - HCM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4560-34ED-4276-A932-922E40A046E5}">
  <dimension ref="A1:V80"/>
  <sheetViews>
    <sheetView topLeftCell="A4" workbookViewId="0">
      <selection activeCell="V9" sqref="V9:V11"/>
    </sheetView>
  </sheetViews>
  <sheetFormatPr defaultRowHeight="15" x14ac:dyDescent="0.25"/>
  <cols>
    <col min="1" max="1" width="4.5703125" bestFit="1" customWidth="1"/>
    <col min="2" max="2" width="9.85546875" bestFit="1" customWidth="1"/>
    <col min="3" max="3" width="8.140625" bestFit="1" customWidth="1"/>
    <col min="4" max="4" width="9.42578125" bestFit="1" customWidth="1"/>
    <col min="5" max="5" width="16.5703125" bestFit="1" customWidth="1"/>
    <col min="6" max="6" width="12.5703125" bestFit="1" customWidth="1"/>
    <col min="17" max="17" width="15.140625" bestFit="1" customWidth="1"/>
    <col min="18" max="18" width="21.42578125" bestFit="1" customWidth="1"/>
    <col min="20" max="20" width="15.140625" bestFit="1" customWidth="1"/>
  </cols>
  <sheetData>
    <row r="1" spans="1:22" ht="44.25" thickBot="1" x14ac:dyDescent="0.3">
      <c r="A1" s="58" t="s">
        <v>11</v>
      </c>
      <c r="B1" s="58" t="s">
        <v>12</v>
      </c>
      <c r="C1" s="58" t="s">
        <v>13</v>
      </c>
      <c r="D1" s="58" t="s">
        <v>14</v>
      </c>
      <c r="E1" s="58" t="s">
        <v>15</v>
      </c>
      <c r="F1" s="58" t="s">
        <v>16</v>
      </c>
      <c r="L1" s="20" t="s">
        <v>26</v>
      </c>
      <c r="M1" s="21" t="s">
        <v>26</v>
      </c>
    </row>
    <row r="2" spans="1:22" ht="44.25" thickBot="1" x14ac:dyDescent="0.3">
      <c r="A2" s="59"/>
      <c r="B2" s="59"/>
      <c r="C2" s="59"/>
      <c r="D2" s="59"/>
      <c r="E2" s="59"/>
      <c r="F2" s="59"/>
      <c r="L2" s="22" t="s">
        <v>18</v>
      </c>
      <c r="M2" s="21" t="s">
        <v>18</v>
      </c>
    </row>
    <row r="3" spans="1:22" ht="44.25" thickBot="1" x14ac:dyDescent="0.3">
      <c r="A3" s="60"/>
      <c r="B3" s="60"/>
      <c r="C3" s="60"/>
      <c r="D3" s="60"/>
      <c r="E3" s="60"/>
      <c r="F3" s="60"/>
      <c r="L3" s="23" t="s">
        <v>26</v>
      </c>
      <c r="M3" s="21" t="s">
        <v>26</v>
      </c>
    </row>
    <row r="4" spans="1:22" ht="44.25" thickBot="1" x14ac:dyDescent="0.3">
      <c r="A4" s="3">
        <v>1</v>
      </c>
      <c r="B4" s="4" t="s">
        <v>17</v>
      </c>
      <c r="C4" s="5"/>
      <c r="D4" s="4">
        <v>260257</v>
      </c>
      <c r="E4" s="6" t="s">
        <v>18</v>
      </c>
      <c r="F4" s="7" t="s">
        <v>19</v>
      </c>
      <c r="G4" t="str">
        <f>VLOOKUP(E4,L:M,2,0)</f>
        <v>Chôn CC - HCM</v>
      </c>
      <c r="L4" s="22" t="s">
        <v>22</v>
      </c>
      <c r="M4" s="21" t="s">
        <v>27</v>
      </c>
      <c r="Q4" s="27" t="s">
        <v>62</v>
      </c>
      <c r="R4" t="s">
        <v>65</v>
      </c>
      <c r="T4" t="s">
        <v>62</v>
      </c>
      <c r="U4" t="s">
        <v>65</v>
      </c>
    </row>
    <row r="5" spans="1:22" ht="44.25" thickBot="1" x14ac:dyDescent="0.3">
      <c r="A5" s="8">
        <v>2</v>
      </c>
      <c r="B5" s="9">
        <v>46056</v>
      </c>
      <c r="C5" s="5"/>
      <c r="D5" s="4">
        <v>260305</v>
      </c>
      <c r="E5" s="6" t="s">
        <v>20</v>
      </c>
      <c r="F5" s="10" t="s">
        <v>21</v>
      </c>
      <c r="G5" t="e">
        <f t="shared" ref="G5:G68" si="0">VLOOKUP(E5,L:M,2,0)</f>
        <v>#N/A</v>
      </c>
      <c r="L5" s="22" t="s">
        <v>24</v>
      </c>
      <c r="M5" s="21" t="s">
        <v>18</v>
      </c>
      <c r="Q5" s="28" t="s">
        <v>18</v>
      </c>
      <c r="R5">
        <v>23</v>
      </c>
      <c r="T5" t="s">
        <v>18</v>
      </c>
      <c r="U5">
        <v>23</v>
      </c>
      <c r="V5" s="2">
        <f>U5/$U$12</f>
        <v>0.36507936507936506</v>
      </c>
    </row>
    <row r="6" spans="1:22" ht="44.25" thickBot="1" x14ac:dyDescent="0.3">
      <c r="A6" s="8">
        <v>3</v>
      </c>
      <c r="B6" s="9">
        <v>46056</v>
      </c>
      <c r="C6" s="5"/>
      <c r="D6" s="4">
        <v>260304</v>
      </c>
      <c r="E6" s="6" t="s">
        <v>22</v>
      </c>
      <c r="F6" s="11" t="s">
        <v>19</v>
      </c>
      <c r="G6" t="str">
        <f t="shared" si="0"/>
        <v>Chôn TC - HCM</v>
      </c>
      <c r="L6" s="22" t="s">
        <v>27</v>
      </c>
      <c r="M6" s="21" t="s">
        <v>27</v>
      </c>
      <c r="Q6" s="28" t="s">
        <v>26</v>
      </c>
      <c r="R6">
        <v>6</v>
      </c>
      <c r="T6" t="s">
        <v>26</v>
      </c>
      <c r="U6">
        <v>6</v>
      </c>
      <c r="V6" s="2">
        <f t="shared" ref="V6:V11" si="1">U6/$U$12</f>
        <v>9.5238095238095233E-2</v>
      </c>
    </row>
    <row r="7" spans="1:22" ht="44.25" thickBot="1" x14ac:dyDescent="0.3">
      <c r="A7" s="8">
        <v>4</v>
      </c>
      <c r="B7" s="9">
        <v>46084</v>
      </c>
      <c r="C7" s="5"/>
      <c r="D7" s="4">
        <v>260245</v>
      </c>
      <c r="E7" s="6" t="s">
        <v>23</v>
      </c>
      <c r="F7" s="11" t="s">
        <v>19</v>
      </c>
      <c r="G7" t="e">
        <f t="shared" si="0"/>
        <v>#N/A</v>
      </c>
      <c r="L7" s="22" t="s">
        <v>22</v>
      </c>
      <c r="M7" s="21" t="s">
        <v>27</v>
      </c>
      <c r="Q7" s="28" t="s">
        <v>58</v>
      </c>
      <c r="R7">
        <v>2</v>
      </c>
      <c r="T7" t="s">
        <v>58</v>
      </c>
      <c r="U7">
        <v>2</v>
      </c>
      <c r="V7" s="2">
        <f t="shared" si="1"/>
        <v>3.1746031746031744E-2</v>
      </c>
    </row>
    <row r="8" spans="1:22" ht="30.75" thickBot="1" x14ac:dyDescent="0.3">
      <c r="A8" s="3">
        <v>5</v>
      </c>
      <c r="B8" s="9">
        <v>46056</v>
      </c>
      <c r="C8" s="5"/>
      <c r="D8" s="4">
        <v>260303</v>
      </c>
      <c r="E8" s="6" t="s">
        <v>24</v>
      </c>
      <c r="F8" s="10" t="s">
        <v>21</v>
      </c>
      <c r="G8" t="str">
        <f t="shared" si="0"/>
        <v>Chôn CC - HCM</v>
      </c>
      <c r="L8" s="22" t="s">
        <v>46</v>
      </c>
      <c r="M8" s="21" t="s">
        <v>57</v>
      </c>
      <c r="Q8" s="28" t="s">
        <v>27</v>
      </c>
      <c r="R8">
        <v>22</v>
      </c>
      <c r="T8" t="s">
        <v>27</v>
      </c>
      <c r="U8">
        <v>22</v>
      </c>
      <c r="V8" s="2">
        <f t="shared" si="1"/>
        <v>0.34920634920634919</v>
      </c>
    </row>
    <row r="9" spans="1:22" ht="44.25" thickBot="1" x14ac:dyDescent="0.3">
      <c r="A9" s="8">
        <v>6</v>
      </c>
      <c r="B9" s="9">
        <v>46115</v>
      </c>
      <c r="C9" s="5"/>
      <c r="D9" s="4">
        <v>260311</v>
      </c>
      <c r="E9" s="6" t="s">
        <v>25</v>
      </c>
      <c r="F9" s="11" t="s">
        <v>19</v>
      </c>
      <c r="G9" t="str">
        <f t="shared" si="0"/>
        <v>Chôn TLV39</v>
      </c>
      <c r="L9" s="22" t="s">
        <v>27</v>
      </c>
      <c r="M9" s="21" t="s">
        <v>27</v>
      </c>
      <c r="Q9" s="28" t="s">
        <v>59</v>
      </c>
      <c r="R9">
        <v>7</v>
      </c>
      <c r="T9" t="s">
        <v>59</v>
      </c>
      <c r="U9">
        <v>7</v>
      </c>
      <c r="V9" s="2">
        <f t="shared" si="1"/>
        <v>0.1111111111111111</v>
      </c>
    </row>
    <row r="10" spans="1:22" ht="44.25" thickBot="1" x14ac:dyDescent="0.3">
      <c r="A10" s="8">
        <v>7</v>
      </c>
      <c r="B10" s="9">
        <v>46056</v>
      </c>
      <c r="C10" s="5"/>
      <c r="D10" s="4">
        <v>260306</v>
      </c>
      <c r="E10" s="6" t="s">
        <v>24</v>
      </c>
      <c r="F10" s="11" t="s">
        <v>19</v>
      </c>
      <c r="G10" t="str">
        <f t="shared" si="0"/>
        <v>Chôn CC - HCM</v>
      </c>
      <c r="L10" s="22" t="s">
        <v>18</v>
      </c>
      <c r="M10" s="21" t="s">
        <v>18</v>
      </c>
      <c r="Q10" s="28" t="s">
        <v>52</v>
      </c>
      <c r="R10">
        <v>1</v>
      </c>
      <c r="T10" t="s">
        <v>52</v>
      </c>
      <c r="U10">
        <v>1</v>
      </c>
      <c r="V10" s="2">
        <f t="shared" si="1"/>
        <v>1.5873015873015872E-2</v>
      </c>
    </row>
    <row r="11" spans="1:22" ht="44.25" thickBot="1" x14ac:dyDescent="0.3">
      <c r="A11" s="8">
        <v>8</v>
      </c>
      <c r="B11" s="9">
        <v>46084</v>
      </c>
      <c r="C11" s="5"/>
      <c r="D11" s="12">
        <v>260310</v>
      </c>
      <c r="E11" s="13" t="s">
        <v>26</v>
      </c>
      <c r="F11" s="10" t="s">
        <v>21</v>
      </c>
      <c r="G11" t="str">
        <f t="shared" si="0"/>
        <v>Chôn ĐB - HCM</v>
      </c>
      <c r="L11" s="22" t="s">
        <v>22</v>
      </c>
      <c r="M11" s="21" t="s">
        <v>27</v>
      </c>
      <c r="Q11" s="28" t="s">
        <v>57</v>
      </c>
      <c r="R11">
        <v>2</v>
      </c>
      <c r="T11" t="s">
        <v>57</v>
      </c>
      <c r="U11">
        <v>2</v>
      </c>
      <c r="V11" s="2">
        <f t="shared" si="1"/>
        <v>3.1746031746031744E-2</v>
      </c>
    </row>
    <row r="12" spans="1:22" ht="44.25" thickBot="1" x14ac:dyDescent="0.3">
      <c r="A12" s="8">
        <v>9</v>
      </c>
      <c r="B12" s="9">
        <v>46115</v>
      </c>
      <c r="C12" s="5"/>
      <c r="D12" s="4">
        <v>260255</v>
      </c>
      <c r="E12" s="6" t="s">
        <v>24</v>
      </c>
      <c r="F12" s="11" t="s">
        <v>19</v>
      </c>
      <c r="G12" t="str">
        <f t="shared" si="0"/>
        <v>Chôn CC - HCM</v>
      </c>
      <c r="L12" s="22" t="s">
        <v>27</v>
      </c>
      <c r="M12" s="21" t="s">
        <v>27</v>
      </c>
      <c r="Q12" s="28" t="s">
        <v>63</v>
      </c>
      <c r="R12">
        <v>13</v>
      </c>
      <c r="U12">
        <f>SUM(U5:U11)</f>
        <v>63</v>
      </c>
    </row>
    <row r="13" spans="1:22" ht="45.75" thickBot="1" x14ac:dyDescent="0.3">
      <c r="A13" s="8">
        <v>10</v>
      </c>
      <c r="B13" s="9">
        <v>46115</v>
      </c>
      <c r="C13" s="5"/>
      <c r="D13" s="4">
        <v>260312</v>
      </c>
      <c r="E13" s="13" t="s">
        <v>26</v>
      </c>
      <c r="F13" s="11" t="s">
        <v>19</v>
      </c>
      <c r="G13" t="str">
        <f t="shared" si="0"/>
        <v>Chôn ĐB - HCM</v>
      </c>
      <c r="L13" s="22" t="s">
        <v>28</v>
      </c>
      <c r="M13" s="21" t="s">
        <v>58</v>
      </c>
      <c r="Q13" s="28" t="s">
        <v>64</v>
      </c>
      <c r="R13">
        <v>76</v>
      </c>
    </row>
    <row r="14" spans="1:22" ht="30.75" thickBot="1" x14ac:dyDescent="0.3">
      <c r="A14" s="8">
        <v>11</v>
      </c>
      <c r="B14" s="9">
        <v>46056</v>
      </c>
      <c r="C14" s="5"/>
      <c r="D14" s="4">
        <v>260307</v>
      </c>
      <c r="E14" s="13" t="s">
        <v>26</v>
      </c>
      <c r="F14" s="11" t="s">
        <v>19</v>
      </c>
      <c r="G14" t="str">
        <f t="shared" si="0"/>
        <v>Chôn ĐB - HCM</v>
      </c>
      <c r="L14" s="22" t="s">
        <v>25</v>
      </c>
      <c r="M14" s="21" t="s">
        <v>59</v>
      </c>
    </row>
    <row r="15" spans="1:22" ht="44.25" thickBot="1" x14ac:dyDescent="0.3">
      <c r="A15" s="8">
        <v>12</v>
      </c>
      <c r="B15" s="9">
        <v>46145</v>
      </c>
      <c r="C15" s="5"/>
      <c r="D15" s="4">
        <v>260315</v>
      </c>
      <c r="E15" s="6" t="s">
        <v>24</v>
      </c>
      <c r="F15" s="10" t="s">
        <v>21</v>
      </c>
      <c r="G15" t="str">
        <f t="shared" si="0"/>
        <v>Chôn CC - HCM</v>
      </c>
      <c r="L15" s="22" t="s">
        <v>27</v>
      </c>
      <c r="M15" s="21" t="s">
        <v>27</v>
      </c>
    </row>
    <row r="16" spans="1:22" ht="30.75" thickBot="1" x14ac:dyDescent="0.3">
      <c r="A16" s="8">
        <v>13</v>
      </c>
      <c r="B16" s="9">
        <v>46084</v>
      </c>
      <c r="C16" s="5"/>
      <c r="D16" s="4">
        <v>260250</v>
      </c>
      <c r="E16" s="13" t="s">
        <v>26</v>
      </c>
      <c r="F16" s="10" t="s">
        <v>21</v>
      </c>
      <c r="G16" t="str">
        <f t="shared" si="0"/>
        <v>Chôn ĐB - HCM</v>
      </c>
      <c r="L16" s="22" t="s">
        <v>25</v>
      </c>
      <c r="M16" s="21" t="s">
        <v>59</v>
      </c>
    </row>
    <row r="17" spans="1:13" ht="30.75" thickBot="1" x14ac:dyDescent="0.3">
      <c r="A17" s="8">
        <v>14</v>
      </c>
      <c r="B17" s="9">
        <v>46145</v>
      </c>
      <c r="C17" s="5"/>
      <c r="D17" s="4">
        <v>260314</v>
      </c>
      <c r="E17" s="6" t="s">
        <v>22</v>
      </c>
      <c r="F17" s="11" t="s">
        <v>19</v>
      </c>
      <c r="G17" t="str">
        <f t="shared" si="0"/>
        <v>Chôn TC - HCM</v>
      </c>
      <c r="L17" s="22" t="s">
        <v>52</v>
      </c>
      <c r="M17" s="21" t="s">
        <v>52</v>
      </c>
    </row>
    <row r="18" spans="1:13" ht="30.75" thickBot="1" x14ac:dyDescent="0.3">
      <c r="A18" s="8">
        <v>15</v>
      </c>
      <c r="B18" s="9">
        <v>46176</v>
      </c>
      <c r="C18" s="5"/>
      <c r="D18" s="4">
        <v>260308</v>
      </c>
      <c r="E18" s="6" t="s">
        <v>27</v>
      </c>
      <c r="F18" s="10" t="s">
        <v>21</v>
      </c>
      <c r="G18" t="str">
        <f t="shared" si="0"/>
        <v>Chôn TC - HCM</v>
      </c>
      <c r="L18" s="22" t="s">
        <v>39</v>
      </c>
      <c r="M18" s="21" t="s">
        <v>59</v>
      </c>
    </row>
    <row r="19" spans="1:13" ht="44.25" thickBot="1" x14ac:dyDescent="0.3">
      <c r="A19" s="8">
        <v>16</v>
      </c>
      <c r="B19" s="9">
        <v>46176</v>
      </c>
      <c r="C19" s="5"/>
      <c r="D19" s="4">
        <v>260316</v>
      </c>
      <c r="E19" s="6" t="s">
        <v>25</v>
      </c>
      <c r="F19" s="10" t="s">
        <v>21</v>
      </c>
      <c r="G19" t="str">
        <f t="shared" si="0"/>
        <v>Chôn TLV39</v>
      </c>
      <c r="L19" s="22" t="s">
        <v>24</v>
      </c>
      <c r="M19" s="21" t="s">
        <v>18</v>
      </c>
    </row>
    <row r="20" spans="1:13" ht="30.75" thickBot="1" x14ac:dyDescent="0.3">
      <c r="A20" s="8">
        <v>17</v>
      </c>
      <c r="B20" s="9">
        <v>46176</v>
      </c>
      <c r="C20" s="5"/>
      <c r="D20" s="4">
        <v>260309</v>
      </c>
      <c r="E20" s="6" t="s">
        <v>24</v>
      </c>
      <c r="F20" s="11" t="s">
        <v>19</v>
      </c>
      <c r="G20" t="str">
        <f t="shared" si="0"/>
        <v>Chôn CC - HCM</v>
      </c>
      <c r="L20" s="22" t="s">
        <v>46</v>
      </c>
      <c r="M20" s="21" t="s">
        <v>52</v>
      </c>
    </row>
    <row r="21" spans="1:13" ht="44.25" thickBot="1" x14ac:dyDescent="0.3">
      <c r="A21" s="8">
        <v>18</v>
      </c>
      <c r="B21" s="9">
        <v>46237</v>
      </c>
      <c r="C21" s="5"/>
      <c r="D21" s="4">
        <v>260320</v>
      </c>
      <c r="E21" s="6" t="s">
        <v>27</v>
      </c>
      <c r="F21" s="11" t="s">
        <v>19</v>
      </c>
      <c r="G21" t="str">
        <f t="shared" si="0"/>
        <v>Chôn TC - HCM</v>
      </c>
      <c r="L21" s="22" t="s">
        <v>22</v>
      </c>
      <c r="M21" s="21" t="s">
        <v>27</v>
      </c>
    </row>
    <row r="22" spans="1:13" ht="44.25" thickBot="1" x14ac:dyDescent="0.3">
      <c r="A22" s="8">
        <v>19</v>
      </c>
      <c r="B22" s="9">
        <v>46237</v>
      </c>
      <c r="C22" s="5"/>
      <c r="D22" s="4">
        <v>260319</v>
      </c>
      <c r="E22" s="6" t="s">
        <v>28</v>
      </c>
      <c r="F22" s="10" t="s">
        <v>21</v>
      </c>
      <c r="G22" t="str">
        <f t="shared" si="0"/>
        <v>Chôn Phước Tịnh</v>
      </c>
      <c r="L22" s="22" t="s">
        <v>18</v>
      </c>
      <c r="M22" s="21" t="s">
        <v>18</v>
      </c>
    </row>
    <row r="23" spans="1:13" ht="30.75" thickBot="1" x14ac:dyDescent="0.3">
      <c r="A23" s="8">
        <v>20</v>
      </c>
      <c r="B23" s="9">
        <v>46237</v>
      </c>
      <c r="C23" s="5"/>
      <c r="D23" s="4">
        <v>260317</v>
      </c>
      <c r="E23" s="6" t="s">
        <v>18</v>
      </c>
      <c r="F23" s="14" t="s">
        <v>29</v>
      </c>
      <c r="G23" t="str">
        <f t="shared" si="0"/>
        <v>Chôn CC - HCM</v>
      </c>
      <c r="L23" s="22" t="s">
        <v>25</v>
      </c>
      <c r="M23" s="21" t="s">
        <v>59</v>
      </c>
    </row>
    <row r="24" spans="1:13" ht="44.25" thickBot="1" x14ac:dyDescent="0.3">
      <c r="A24" s="8">
        <v>21</v>
      </c>
      <c r="B24" s="9">
        <v>46206</v>
      </c>
      <c r="C24" s="5"/>
      <c r="D24" s="4" t="s">
        <v>30</v>
      </c>
      <c r="E24" s="6" t="s">
        <v>31</v>
      </c>
      <c r="F24" s="5"/>
      <c r="G24" t="e">
        <f t="shared" si="0"/>
        <v>#N/A</v>
      </c>
      <c r="L24" s="22" t="s">
        <v>22</v>
      </c>
      <c r="M24" s="21" t="s">
        <v>27</v>
      </c>
    </row>
    <row r="25" spans="1:13" ht="30.75" thickBot="1" x14ac:dyDescent="0.3">
      <c r="A25" s="8">
        <v>22</v>
      </c>
      <c r="B25" s="9">
        <v>46268</v>
      </c>
      <c r="C25" s="5"/>
      <c r="D25" s="4">
        <v>260301</v>
      </c>
      <c r="E25" s="6" t="s">
        <v>18</v>
      </c>
      <c r="F25" s="10" t="s">
        <v>21</v>
      </c>
      <c r="G25" t="str">
        <f t="shared" si="0"/>
        <v>Chôn CC - HCM</v>
      </c>
      <c r="L25" s="22" t="s">
        <v>25</v>
      </c>
      <c r="M25" s="21" t="s">
        <v>59</v>
      </c>
    </row>
    <row r="26" spans="1:13" ht="44.25" thickBot="1" x14ac:dyDescent="0.3">
      <c r="A26" s="8">
        <v>23</v>
      </c>
      <c r="B26" s="9">
        <v>46359</v>
      </c>
      <c r="C26" s="5"/>
      <c r="D26" s="4" t="s">
        <v>32</v>
      </c>
      <c r="E26" s="5"/>
      <c r="F26" s="5"/>
      <c r="G26" t="e">
        <f t="shared" si="0"/>
        <v>#N/A</v>
      </c>
      <c r="L26" s="24" t="s">
        <v>27</v>
      </c>
      <c r="M26" s="21" t="s">
        <v>27</v>
      </c>
    </row>
    <row r="27" spans="1:13" ht="30.75" thickBot="1" x14ac:dyDescent="0.3">
      <c r="A27" s="8">
        <v>24</v>
      </c>
      <c r="B27" s="9">
        <v>46298</v>
      </c>
      <c r="C27" s="5"/>
      <c r="D27" s="4">
        <v>260326</v>
      </c>
      <c r="E27" s="6" t="s">
        <v>33</v>
      </c>
      <c r="F27" s="11" t="s">
        <v>19</v>
      </c>
      <c r="G27" t="e">
        <f t="shared" si="0"/>
        <v>#N/A</v>
      </c>
      <c r="L27" s="22" t="s">
        <v>52</v>
      </c>
      <c r="M27" s="21" t="s">
        <v>52</v>
      </c>
    </row>
    <row r="28" spans="1:13" ht="44.25" thickBot="1" x14ac:dyDescent="0.3">
      <c r="A28" s="8">
        <v>25</v>
      </c>
      <c r="B28" s="9">
        <v>46359</v>
      </c>
      <c r="C28" s="5"/>
      <c r="D28" s="15">
        <v>260327</v>
      </c>
      <c r="E28" s="6" t="s">
        <v>24</v>
      </c>
      <c r="F28" s="10" t="s">
        <v>21</v>
      </c>
      <c r="G28" t="str">
        <f t="shared" si="0"/>
        <v>Chôn CC - HCM</v>
      </c>
      <c r="L28" s="22" t="s">
        <v>22</v>
      </c>
      <c r="M28" s="21" t="s">
        <v>27</v>
      </c>
    </row>
    <row r="29" spans="1:13" ht="30" thickBot="1" x14ac:dyDescent="0.3">
      <c r="A29" s="8">
        <v>26</v>
      </c>
      <c r="B29" s="9">
        <v>46359</v>
      </c>
      <c r="C29" s="16"/>
      <c r="D29" s="17">
        <v>260329</v>
      </c>
      <c r="E29" s="6" t="s">
        <v>18</v>
      </c>
      <c r="F29" s="11" t="s">
        <v>19</v>
      </c>
      <c r="G29" t="str">
        <f t="shared" si="0"/>
        <v>Chôn CC - HCM</v>
      </c>
      <c r="L29" s="25" t="s">
        <v>60</v>
      </c>
      <c r="M29" s="21"/>
    </row>
    <row r="30" spans="1:13" ht="30" thickBot="1" x14ac:dyDescent="0.3">
      <c r="A30" s="8">
        <v>27</v>
      </c>
      <c r="B30" s="4" t="s">
        <v>34</v>
      </c>
      <c r="C30" s="5"/>
      <c r="D30" s="4">
        <v>260322</v>
      </c>
      <c r="E30" s="6" t="s">
        <v>22</v>
      </c>
      <c r="F30" s="11" t="s">
        <v>19</v>
      </c>
      <c r="G30" t="str">
        <f t="shared" si="0"/>
        <v>Chôn TC - HCM</v>
      </c>
      <c r="L30" s="25" t="s">
        <v>60</v>
      </c>
      <c r="M30" s="21"/>
    </row>
    <row r="31" spans="1:13" ht="44.25" thickBot="1" x14ac:dyDescent="0.3">
      <c r="A31" s="8">
        <v>28</v>
      </c>
      <c r="B31" s="4" t="s">
        <v>34</v>
      </c>
      <c r="C31" s="5"/>
      <c r="D31" s="15">
        <v>260330</v>
      </c>
      <c r="E31" s="6" t="s">
        <v>18</v>
      </c>
      <c r="F31" s="10" t="s">
        <v>21</v>
      </c>
      <c r="G31" t="str">
        <f t="shared" si="0"/>
        <v>Chôn CC - HCM</v>
      </c>
      <c r="L31" s="22" t="s">
        <v>18</v>
      </c>
      <c r="M31" s="21" t="s">
        <v>18</v>
      </c>
    </row>
    <row r="32" spans="1:13" ht="30.75" thickBot="1" x14ac:dyDescent="0.3">
      <c r="A32" s="8">
        <v>29</v>
      </c>
      <c r="B32" s="9">
        <v>46359</v>
      </c>
      <c r="C32" s="5"/>
      <c r="D32" s="4">
        <v>260328</v>
      </c>
      <c r="E32" s="6" t="s">
        <v>22</v>
      </c>
      <c r="F32" s="10" t="s">
        <v>21</v>
      </c>
      <c r="G32" t="str">
        <f t="shared" si="0"/>
        <v>Chôn TC - HCM</v>
      </c>
      <c r="L32" s="22" t="s">
        <v>25</v>
      </c>
      <c r="M32" s="21" t="s">
        <v>59</v>
      </c>
    </row>
    <row r="33" spans="1:13" ht="44.25" thickBot="1" x14ac:dyDescent="0.3">
      <c r="A33" s="8">
        <v>30</v>
      </c>
      <c r="B33" s="4" t="s">
        <v>35</v>
      </c>
      <c r="C33" s="5"/>
      <c r="D33" s="4">
        <v>260334</v>
      </c>
      <c r="E33" s="6" t="s">
        <v>24</v>
      </c>
      <c r="F33" s="10" t="s">
        <v>21</v>
      </c>
      <c r="G33" t="str">
        <f t="shared" si="0"/>
        <v>Chôn CC - HCM</v>
      </c>
      <c r="L33" s="22" t="s">
        <v>22</v>
      </c>
      <c r="M33" s="21" t="s">
        <v>27</v>
      </c>
    </row>
    <row r="34" spans="1:13" ht="30.75" thickBot="1" x14ac:dyDescent="0.3">
      <c r="A34" s="8">
        <v>31</v>
      </c>
      <c r="B34" s="4" t="s">
        <v>35</v>
      </c>
      <c r="C34" s="5"/>
      <c r="D34" s="4">
        <v>260335</v>
      </c>
      <c r="E34" s="6" t="s">
        <v>27</v>
      </c>
      <c r="F34" s="11" t="s">
        <v>19</v>
      </c>
      <c r="G34" t="str">
        <f t="shared" si="0"/>
        <v>Chôn TC - HCM</v>
      </c>
      <c r="L34" s="22" t="s">
        <v>25</v>
      </c>
      <c r="M34" s="21" t="s">
        <v>59</v>
      </c>
    </row>
    <row r="35" spans="1:13" ht="44.25" thickBot="1" x14ac:dyDescent="0.3">
      <c r="A35" s="8">
        <v>32</v>
      </c>
      <c r="B35" s="4" t="s">
        <v>35</v>
      </c>
      <c r="C35" s="5"/>
      <c r="D35" s="4">
        <v>260332</v>
      </c>
      <c r="E35" s="6" t="s">
        <v>24</v>
      </c>
      <c r="F35" s="10" t="s">
        <v>21</v>
      </c>
      <c r="G35" t="str">
        <f t="shared" si="0"/>
        <v>Chôn CC - HCM</v>
      </c>
      <c r="L35" s="22" t="s">
        <v>27</v>
      </c>
      <c r="M35" s="21" t="s">
        <v>27</v>
      </c>
    </row>
    <row r="36" spans="1:13" ht="44.25" thickBot="1" x14ac:dyDescent="0.3">
      <c r="A36" s="8">
        <v>33</v>
      </c>
      <c r="B36" s="4" t="s">
        <v>34</v>
      </c>
      <c r="C36" s="5"/>
      <c r="D36" s="4">
        <v>260331</v>
      </c>
      <c r="E36" s="6" t="s">
        <v>18</v>
      </c>
      <c r="F36" s="11" t="s">
        <v>19</v>
      </c>
      <c r="G36" t="str">
        <f t="shared" si="0"/>
        <v>Chôn CC - HCM</v>
      </c>
      <c r="L36" s="26" t="s">
        <v>61</v>
      </c>
      <c r="M36" s="21" t="s">
        <v>26</v>
      </c>
    </row>
    <row r="37" spans="1:13" ht="44.25" thickBot="1" x14ac:dyDescent="0.3">
      <c r="A37" s="8">
        <v>34</v>
      </c>
      <c r="B37" s="4" t="s">
        <v>36</v>
      </c>
      <c r="C37" s="5"/>
      <c r="D37" s="4">
        <v>260337</v>
      </c>
      <c r="E37" s="6" t="s">
        <v>22</v>
      </c>
      <c r="F37" s="10" t="s">
        <v>21</v>
      </c>
      <c r="G37" t="str">
        <f t="shared" si="0"/>
        <v>Chôn TC - HCM</v>
      </c>
      <c r="L37" s="22" t="s">
        <v>18</v>
      </c>
      <c r="M37" s="21" t="s">
        <v>18</v>
      </c>
    </row>
    <row r="38" spans="1:13" ht="30.75" thickBot="1" x14ac:dyDescent="0.3">
      <c r="A38" s="8">
        <v>35</v>
      </c>
      <c r="B38" s="4" t="s">
        <v>37</v>
      </c>
      <c r="C38" s="5"/>
      <c r="D38" s="4">
        <v>260340</v>
      </c>
      <c r="E38" s="6" t="s">
        <v>20</v>
      </c>
      <c r="F38" s="10" t="s">
        <v>21</v>
      </c>
      <c r="G38" t="e">
        <f t="shared" si="0"/>
        <v>#N/A</v>
      </c>
      <c r="L38" s="22" t="s">
        <v>39</v>
      </c>
      <c r="M38" s="21" t="s">
        <v>59</v>
      </c>
    </row>
    <row r="39" spans="1:13" ht="44.25" thickBot="1" x14ac:dyDescent="0.3">
      <c r="A39" s="8">
        <v>36</v>
      </c>
      <c r="B39" s="4" t="s">
        <v>37</v>
      </c>
      <c r="C39" s="5"/>
      <c r="D39" s="4">
        <v>260341</v>
      </c>
      <c r="E39" s="6" t="s">
        <v>20</v>
      </c>
      <c r="F39" s="11" t="s">
        <v>19</v>
      </c>
      <c r="G39" t="e">
        <f t="shared" si="0"/>
        <v>#N/A</v>
      </c>
      <c r="L39" s="22" t="s">
        <v>18</v>
      </c>
      <c r="M39" s="21" t="s">
        <v>18</v>
      </c>
    </row>
    <row r="40" spans="1:13" ht="44.25" thickBot="1" x14ac:dyDescent="0.3">
      <c r="A40" s="8">
        <v>37</v>
      </c>
      <c r="B40" s="4" t="s">
        <v>36</v>
      </c>
      <c r="C40" s="5"/>
      <c r="D40" s="6">
        <v>260234</v>
      </c>
      <c r="E40" s="6" t="s">
        <v>18</v>
      </c>
      <c r="F40" s="14" t="s">
        <v>29</v>
      </c>
      <c r="G40" t="str">
        <f t="shared" si="0"/>
        <v>Chôn CC - HCM</v>
      </c>
      <c r="L40" s="23" t="s">
        <v>26</v>
      </c>
      <c r="M40" s="21" t="s">
        <v>26</v>
      </c>
    </row>
    <row r="41" spans="1:13" ht="44.25" thickBot="1" x14ac:dyDescent="0.3">
      <c r="A41" s="8">
        <v>38</v>
      </c>
      <c r="B41" s="4" t="s">
        <v>35</v>
      </c>
      <c r="C41" s="5"/>
      <c r="D41" s="6">
        <v>260333</v>
      </c>
      <c r="E41" s="6" t="s">
        <v>18</v>
      </c>
      <c r="F41" s="14" t="s">
        <v>29</v>
      </c>
      <c r="G41" t="str">
        <f t="shared" si="0"/>
        <v>Chôn CC - HCM</v>
      </c>
      <c r="L41" s="22" t="s">
        <v>22</v>
      </c>
      <c r="M41" s="21" t="s">
        <v>27</v>
      </c>
    </row>
    <row r="42" spans="1:13" ht="30.75" thickBot="1" x14ac:dyDescent="0.3">
      <c r="A42" s="8">
        <v>39</v>
      </c>
      <c r="B42" s="4" t="s">
        <v>36</v>
      </c>
      <c r="C42" s="5"/>
      <c r="D42" s="6">
        <v>260338</v>
      </c>
      <c r="E42" s="6" t="s">
        <v>27</v>
      </c>
      <c r="F42" s="11" t="s">
        <v>19</v>
      </c>
      <c r="G42" t="str">
        <f t="shared" si="0"/>
        <v>Chôn TC - HCM</v>
      </c>
      <c r="L42" s="22" t="s">
        <v>57</v>
      </c>
      <c r="M42" s="21" t="s">
        <v>52</v>
      </c>
    </row>
    <row r="43" spans="1:13" ht="44.25" thickBot="1" x14ac:dyDescent="0.3">
      <c r="A43" s="8">
        <v>40</v>
      </c>
      <c r="B43" s="4" t="s">
        <v>37</v>
      </c>
      <c r="C43" s="5"/>
      <c r="D43" s="4">
        <v>260339</v>
      </c>
      <c r="E43" s="6" t="s">
        <v>22</v>
      </c>
      <c r="F43" s="14" t="s">
        <v>29</v>
      </c>
      <c r="G43" t="str">
        <f t="shared" si="0"/>
        <v>Chôn TC - HCM</v>
      </c>
      <c r="L43" s="22" t="s">
        <v>24</v>
      </c>
      <c r="M43" s="21" t="s">
        <v>18</v>
      </c>
    </row>
    <row r="44" spans="1:13" ht="15.75" thickBot="1" x14ac:dyDescent="0.3">
      <c r="A44" s="8">
        <v>41</v>
      </c>
      <c r="B44" s="4" t="s">
        <v>37</v>
      </c>
      <c r="C44" s="5"/>
      <c r="D44" s="6">
        <v>251015</v>
      </c>
      <c r="E44" s="6" t="s">
        <v>24</v>
      </c>
      <c r="F44" s="11" t="s">
        <v>19</v>
      </c>
      <c r="G44" t="str">
        <f t="shared" si="0"/>
        <v>Chôn CC - HCM</v>
      </c>
    </row>
    <row r="45" spans="1:13" ht="15.75" thickBot="1" x14ac:dyDescent="0.3">
      <c r="A45" s="8">
        <v>42</v>
      </c>
      <c r="B45" s="4" t="s">
        <v>37</v>
      </c>
      <c r="C45" s="5"/>
      <c r="D45" s="4">
        <v>260336</v>
      </c>
      <c r="E45" s="6" t="s">
        <v>27</v>
      </c>
      <c r="F45" s="11" t="s">
        <v>19</v>
      </c>
      <c r="G45" t="str">
        <f t="shared" si="0"/>
        <v>Chôn TC - HCM</v>
      </c>
    </row>
    <row r="46" spans="1:13" ht="15.75" thickBot="1" x14ac:dyDescent="0.3">
      <c r="A46" s="8">
        <v>43</v>
      </c>
      <c r="B46" s="4" t="s">
        <v>38</v>
      </c>
      <c r="C46" s="5"/>
      <c r="D46" s="4">
        <v>260343</v>
      </c>
      <c r="E46" s="6" t="s">
        <v>27</v>
      </c>
      <c r="F46" s="10" t="s">
        <v>21</v>
      </c>
      <c r="G46" t="str">
        <f t="shared" si="0"/>
        <v>Chôn TC - HCM</v>
      </c>
    </row>
    <row r="47" spans="1:13" ht="15.75" thickBot="1" x14ac:dyDescent="0.3">
      <c r="A47" s="8">
        <v>44</v>
      </c>
      <c r="B47" s="4" t="s">
        <v>38</v>
      </c>
      <c r="C47" s="5"/>
      <c r="D47" s="18">
        <v>260344</v>
      </c>
      <c r="E47" s="6" t="s">
        <v>39</v>
      </c>
      <c r="F47" s="11" t="s">
        <v>19</v>
      </c>
      <c r="G47" t="str">
        <f t="shared" si="0"/>
        <v>Chôn TLV39</v>
      </c>
    </row>
    <row r="48" spans="1:13" ht="15.75" thickBot="1" x14ac:dyDescent="0.3">
      <c r="A48" s="8">
        <v>45</v>
      </c>
      <c r="B48" s="4" t="s">
        <v>37</v>
      </c>
      <c r="C48" s="5"/>
      <c r="D48" s="4">
        <v>260342</v>
      </c>
      <c r="E48" s="6" t="s">
        <v>18</v>
      </c>
      <c r="F48" s="14" t="s">
        <v>29</v>
      </c>
      <c r="G48" t="str">
        <f t="shared" si="0"/>
        <v>Chôn CC - HCM</v>
      </c>
    </row>
    <row r="49" spans="1:7" ht="15.75" thickBot="1" x14ac:dyDescent="0.3">
      <c r="A49" s="8">
        <v>46</v>
      </c>
      <c r="B49" s="4" t="s">
        <v>40</v>
      </c>
      <c r="C49" s="5"/>
      <c r="D49" s="4">
        <v>260345</v>
      </c>
      <c r="E49" s="6" t="s">
        <v>22</v>
      </c>
      <c r="F49" s="10" t="s">
        <v>21</v>
      </c>
      <c r="G49" t="str">
        <f t="shared" si="0"/>
        <v>Chôn TC - HCM</v>
      </c>
    </row>
    <row r="50" spans="1:7" ht="15.75" thickBot="1" x14ac:dyDescent="0.3">
      <c r="A50" s="8">
        <v>47</v>
      </c>
      <c r="B50" s="4" t="s">
        <v>40</v>
      </c>
      <c r="C50" s="5"/>
      <c r="D50" s="4">
        <v>260323</v>
      </c>
      <c r="E50" s="6" t="s">
        <v>18</v>
      </c>
      <c r="F50" s="10" t="s">
        <v>21</v>
      </c>
      <c r="G50" t="str">
        <f t="shared" si="0"/>
        <v>Chôn CC - HCM</v>
      </c>
    </row>
    <row r="51" spans="1:7" ht="15.75" thickBot="1" x14ac:dyDescent="0.3">
      <c r="A51" s="8">
        <v>48</v>
      </c>
      <c r="B51" s="5"/>
      <c r="C51" s="5"/>
      <c r="D51" s="4" t="s">
        <v>41</v>
      </c>
      <c r="E51" s="6" t="s">
        <v>31</v>
      </c>
      <c r="F51" s="5"/>
      <c r="G51" t="e">
        <f t="shared" si="0"/>
        <v>#N/A</v>
      </c>
    </row>
    <row r="52" spans="1:7" ht="15.75" thickBot="1" x14ac:dyDescent="0.3">
      <c r="A52" s="8">
        <v>49</v>
      </c>
      <c r="B52" s="4" t="s">
        <v>42</v>
      </c>
      <c r="C52" s="5"/>
      <c r="D52" s="4">
        <v>260346</v>
      </c>
      <c r="E52" s="13" t="s">
        <v>26</v>
      </c>
      <c r="F52" s="11" t="s">
        <v>19</v>
      </c>
      <c r="G52" t="str">
        <f t="shared" si="0"/>
        <v>Chôn ĐB - HCM</v>
      </c>
    </row>
    <row r="53" spans="1:7" ht="15.75" thickBot="1" x14ac:dyDescent="0.3">
      <c r="A53" s="8">
        <v>50</v>
      </c>
      <c r="B53" s="4" t="s">
        <v>43</v>
      </c>
      <c r="C53" s="5"/>
      <c r="D53" s="4">
        <v>260325</v>
      </c>
      <c r="E53" s="6" t="s">
        <v>18</v>
      </c>
      <c r="F53" s="11" t="s">
        <v>19</v>
      </c>
      <c r="G53" t="str">
        <f t="shared" si="0"/>
        <v>Chôn CC - HCM</v>
      </c>
    </row>
    <row r="54" spans="1:7" ht="15.75" thickBot="1" x14ac:dyDescent="0.3">
      <c r="A54" s="8">
        <v>51</v>
      </c>
      <c r="B54" s="4" t="s">
        <v>44</v>
      </c>
      <c r="C54" s="5"/>
      <c r="D54" s="4">
        <v>260347</v>
      </c>
      <c r="E54" s="13" t="s">
        <v>26</v>
      </c>
      <c r="F54" s="11" t="s">
        <v>19</v>
      </c>
      <c r="G54" t="str">
        <f t="shared" si="0"/>
        <v>Chôn ĐB - HCM</v>
      </c>
    </row>
    <row r="55" spans="1:7" ht="15.75" thickBot="1" x14ac:dyDescent="0.3">
      <c r="A55" s="8">
        <v>52</v>
      </c>
      <c r="B55" s="4" t="s">
        <v>44</v>
      </c>
      <c r="C55" s="5"/>
      <c r="D55" s="4">
        <v>260351</v>
      </c>
      <c r="E55" s="6" t="s">
        <v>22</v>
      </c>
      <c r="F55" s="10" t="s">
        <v>21</v>
      </c>
      <c r="G55" t="str">
        <f t="shared" si="0"/>
        <v>Chôn TC - HCM</v>
      </c>
    </row>
    <row r="56" spans="1:7" ht="15.75" thickBot="1" x14ac:dyDescent="0.3">
      <c r="A56" s="8">
        <v>53</v>
      </c>
      <c r="B56" s="4" t="s">
        <v>44</v>
      </c>
      <c r="C56" s="5"/>
      <c r="D56" s="4">
        <v>260352</v>
      </c>
      <c r="E56" s="6" t="s">
        <v>24</v>
      </c>
      <c r="F56" s="10" t="s">
        <v>21</v>
      </c>
      <c r="G56" t="str">
        <f t="shared" si="0"/>
        <v>Chôn CC - HCM</v>
      </c>
    </row>
    <row r="57" spans="1:7" ht="15.75" thickBot="1" x14ac:dyDescent="0.3">
      <c r="A57" s="8">
        <v>54</v>
      </c>
      <c r="B57" s="4" t="s">
        <v>45</v>
      </c>
      <c r="C57" s="5"/>
      <c r="D57" s="4">
        <v>260353</v>
      </c>
      <c r="E57" s="6" t="s">
        <v>27</v>
      </c>
      <c r="F57" s="11" t="s">
        <v>19</v>
      </c>
      <c r="G57" t="str">
        <f t="shared" si="0"/>
        <v>Chôn TC - HCM</v>
      </c>
    </row>
    <row r="58" spans="1:7" ht="15.75" thickBot="1" x14ac:dyDescent="0.3">
      <c r="A58" s="8">
        <v>55</v>
      </c>
      <c r="B58" s="4" t="s">
        <v>45</v>
      </c>
      <c r="C58" s="5"/>
      <c r="D58" s="4">
        <v>260354</v>
      </c>
      <c r="E58" s="6" t="s">
        <v>22</v>
      </c>
      <c r="F58" s="11" t="s">
        <v>19</v>
      </c>
      <c r="G58" t="str">
        <f t="shared" si="0"/>
        <v>Chôn TC - HCM</v>
      </c>
    </row>
    <row r="59" spans="1:7" ht="15.75" thickBot="1" x14ac:dyDescent="0.3">
      <c r="A59" s="8">
        <v>56</v>
      </c>
      <c r="B59" s="4" t="s">
        <v>45</v>
      </c>
      <c r="C59" s="5"/>
      <c r="D59" s="4">
        <v>251134</v>
      </c>
      <c r="E59" s="6" t="s">
        <v>46</v>
      </c>
      <c r="F59" s="10" t="s">
        <v>21</v>
      </c>
      <c r="G59" t="str">
        <f t="shared" si="0"/>
        <v>Chôn TLV79</v>
      </c>
    </row>
    <row r="60" spans="1:7" ht="15.75" thickBot="1" x14ac:dyDescent="0.3">
      <c r="A60" s="8">
        <v>57</v>
      </c>
      <c r="B60" s="4" t="s">
        <v>45</v>
      </c>
      <c r="C60" s="5"/>
      <c r="D60" s="4">
        <v>260355</v>
      </c>
      <c r="E60" s="6" t="s">
        <v>27</v>
      </c>
      <c r="F60" s="11" t="s">
        <v>19</v>
      </c>
      <c r="G60" t="str">
        <f t="shared" si="0"/>
        <v>Chôn TC - HCM</v>
      </c>
    </row>
    <row r="61" spans="1:7" ht="15.75" thickBot="1" x14ac:dyDescent="0.3">
      <c r="A61" s="8">
        <v>58</v>
      </c>
      <c r="B61" s="4" t="s">
        <v>47</v>
      </c>
      <c r="C61" s="5"/>
      <c r="D61" s="4">
        <v>260356</v>
      </c>
      <c r="E61" s="6" t="s">
        <v>18</v>
      </c>
      <c r="F61" s="14" t="s">
        <v>29</v>
      </c>
      <c r="G61" t="str">
        <f t="shared" si="0"/>
        <v>Chôn CC - HCM</v>
      </c>
    </row>
    <row r="62" spans="1:7" ht="15.75" thickBot="1" x14ac:dyDescent="0.3">
      <c r="A62" s="8">
        <v>59</v>
      </c>
      <c r="B62" s="4" t="s">
        <v>47</v>
      </c>
      <c r="C62" s="5"/>
      <c r="D62" s="4">
        <v>260357</v>
      </c>
      <c r="E62" s="6" t="s">
        <v>22</v>
      </c>
      <c r="F62" s="14" t="s">
        <v>29</v>
      </c>
      <c r="G62" t="str">
        <f t="shared" si="0"/>
        <v>Chôn TC - HCM</v>
      </c>
    </row>
    <row r="63" spans="1:7" ht="15.75" thickBot="1" x14ac:dyDescent="0.3">
      <c r="A63" s="8">
        <v>60</v>
      </c>
      <c r="B63" s="4" t="s">
        <v>47</v>
      </c>
      <c r="C63" s="5"/>
      <c r="D63" s="4">
        <v>260349</v>
      </c>
      <c r="E63" s="6" t="s">
        <v>27</v>
      </c>
      <c r="F63" s="11" t="s">
        <v>19</v>
      </c>
      <c r="G63" t="str">
        <f t="shared" si="0"/>
        <v>Chôn TC - HCM</v>
      </c>
    </row>
    <row r="64" spans="1:7" ht="15.75" thickBot="1" x14ac:dyDescent="0.3">
      <c r="A64" s="8">
        <v>61</v>
      </c>
      <c r="B64" s="4" t="s">
        <v>48</v>
      </c>
      <c r="C64" s="5"/>
      <c r="D64" s="4">
        <v>260362</v>
      </c>
      <c r="E64" s="6" t="s">
        <v>28</v>
      </c>
      <c r="F64" s="10" t="s">
        <v>21</v>
      </c>
      <c r="G64" t="str">
        <f t="shared" si="0"/>
        <v>Chôn Phước Tịnh</v>
      </c>
    </row>
    <row r="65" spans="1:7" ht="15.75" thickBot="1" x14ac:dyDescent="0.3">
      <c r="A65" s="8">
        <v>62</v>
      </c>
      <c r="B65" s="4" t="s">
        <v>47</v>
      </c>
      <c r="C65" s="5"/>
      <c r="D65" s="4" t="s">
        <v>49</v>
      </c>
      <c r="E65" s="6" t="s">
        <v>31</v>
      </c>
      <c r="F65" s="5"/>
      <c r="G65" t="e">
        <f t="shared" si="0"/>
        <v>#N/A</v>
      </c>
    </row>
    <row r="66" spans="1:7" ht="15.75" thickBot="1" x14ac:dyDescent="0.3">
      <c r="A66" s="8">
        <v>63</v>
      </c>
      <c r="B66" s="4" t="s">
        <v>48</v>
      </c>
      <c r="C66" s="5"/>
      <c r="D66" s="4">
        <v>260364</v>
      </c>
      <c r="E66" s="6" t="s">
        <v>25</v>
      </c>
      <c r="F66" s="11" t="s">
        <v>19</v>
      </c>
      <c r="G66" t="str">
        <f t="shared" si="0"/>
        <v>Chôn TLV39</v>
      </c>
    </row>
    <row r="67" spans="1:7" ht="15.75" thickBot="1" x14ac:dyDescent="0.3">
      <c r="A67" s="8">
        <v>64</v>
      </c>
      <c r="B67" s="4" t="s">
        <v>50</v>
      </c>
      <c r="C67" s="5"/>
      <c r="D67" s="4">
        <v>260365</v>
      </c>
      <c r="E67" s="6" t="s">
        <v>27</v>
      </c>
      <c r="F67" s="10" t="s">
        <v>21</v>
      </c>
      <c r="G67" t="str">
        <f t="shared" si="0"/>
        <v>Chôn TC - HCM</v>
      </c>
    </row>
    <row r="68" spans="1:7" ht="15.75" thickBot="1" x14ac:dyDescent="0.3">
      <c r="A68" s="8">
        <v>65</v>
      </c>
      <c r="B68" s="4" t="s">
        <v>51</v>
      </c>
      <c r="C68" s="5"/>
      <c r="D68" s="4">
        <v>260367</v>
      </c>
      <c r="E68" s="6" t="s">
        <v>25</v>
      </c>
      <c r="F68" s="10" t="s">
        <v>21</v>
      </c>
      <c r="G68" t="str">
        <f t="shared" si="0"/>
        <v>Chôn TLV39</v>
      </c>
    </row>
    <row r="69" spans="1:7" ht="15.75" thickBot="1" x14ac:dyDescent="0.3">
      <c r="A69" s="8">
        <v>66</v>
      </c>
      <c r="B69" s="4" t="s">
        <v>51</v>
      </c>
      <c r="C69" s="5"/>
      <c r="D69" s="4">
        <v>260369</v>
      </c>
      <c r="E69" s="6" t="s">
        <v>52</v>
      </c>
      <c r="F69" s="10" t="s">
        <v>21</v>
      </c>
      <c r="G69" t="str">
        <f t="shared" ref="G69:G80" si="2">VLOOKUP(E69,L:M,2,0)</f>
        <v>Chôn TLV59</v>
      </c>
    </row>
    <row r="70" spans="1:7" ht="15.75" thickBot="1" x14ac:dyDescent="0.3">
      <c r="A70" s="8">
        <v>67</v>
      </c>
      <c r="B70" s="4" t="s">
        <v>51</v>
      </c>
      <c r="C70" s="5"/>
      <c r="D70" s="4">
        <v>260374</v>
      </c>
      <c r="E70" s="6" t="s">
        <v>39</v>
      </c>
      <c r="F70" s="10" t="s">
        <v>21</v>
      </c>
      <c r="G70" t="str">
        <f t="shared" si="2"/>
        <v>Chôn TLV39</v>
      </c>
    </row>
    <row r="71" spans="1:7" ht="15.75" thickBot="1" x14ac:dyDescent="0.3">
      <c r="A71" s="8">
        <v>68</v>
      </c>
      <c r="B71" s="4" t="s">
        <v>51</v>
      </c>
      <c r="C71" s="5"/>
      <c r="D71" s="4">
        <v>260370</v>
      </c>
      <c r="E71" s="6" t="s">
        <v>24</v>
      </c>
      <c r="F71" s="14" t="s">
        <v>29</v>
      </c>
      <c r="G71" t="str">
        <f t="shared" si="2"/>
        <v>Chôn CC - HCM</v>
      </c>
    </row>
    <row r="72" spans="1:7" ht="15.75" thickBot="1" x14ac:dyDescent="0.3">
      <c r="A72" s="8">
        <v>69</v>
      </c>
      <c r="B72" s="4" t="s">
        <v>51</v>
      </c>
      <c r="C72" s="5"/>
      <c r="D72" s="4">
        <v>260366</v>
      </c>
      <c r="E72" s="6" t="s">
        <v>46</v>
      </c>
      <c r="F72" s="10" t="s">
        <v>21</v>
      </c>
      <c r="G72" t="str">
        <f t="shared" si="2"/>
        <v>Chôn TLV79</v>
      </c>
    </row>
    <row r="73" spans="1:7" ht="15.75" thickBot="1" x14ac:dyDescent="0.3">
      <c r="A73" s="8">
        <v>70</v>
      </c>
      <c r="B73" s="4" t="s">
        <v>53</v>
      </c>
      <c r="C73" s="19"/>
      <c r="D73" s="4">
        <v>260375</v>
      </c>
      <c r="E73" s="6" t="s">
        <v>22</v>
      </c>
      <c r="F73" s="11" t="s">
        <v>19</v>
      </c>
      <c r="G73" t="str">
        <f t="shared" si="2"/>
        <v>Chôn TC - HCM</v>
      </c>
    </row>
    <row r="74" spans="1:7" ht="15.75" thickBot="1" x14ac:dyDescent="0.3">
      <c r="A74" s="8">
        <v>71</v>
      </c>
      <c r="B74" s="4" t="s">
        <v>53</v>
      </c>
      <c r="C74" s="5"/>
      <c r="D74" s="4">
        <v>260376</v>
      </c>
      <c r="E74" s="6" t="s">
        <v>18</v>
      </c>
      <c r="F74" s="10" t="s">
        <v>21</v>
      </c>
      <c r="G74" t="str">
        <f t="shared" si="2"/>
        <v>Chôn CC - HCM</v>
      </c>
    </row>
    <row r="75" spans="1:7" ht="15.75" thickBot="1" x14ac:dyDescent="0.3">
      <c r="A75" s="8">
        <v>72</v>
      </c>
      <c r="B75" s="4" t="s">
        <v>54</v>
      </c>
      <c r="C75" s="5"/>
      <c r="D75" s="4">
        <v>260361</v>
      </c>
      <c r="E75" s="6" t="s">
        <v>25</v>
      </c>
      <c r="F75" s="11" t="s">
        <v>19</v>
      </c>
      <c r="G75" t="str">
        <f t="shared" si="2"/>
        <v>Chôn TLV39</v>
      </c>
    </row>
    <row r="76" spans="1:7" ht="15.75" thickBot="1" x14ac:dyDescent="0.3">
      <c r="A76" s="8">
        <v>73</v>
      </c>
      <c r="B76" s="5"/>
      <c r="C76" s="5"/>
      <c r="D76" s="4" t="s">
        <v>30</v>
      </c>
      <c r="E76" s="6" t="s">
        <v>31</v>
      </c>
      <c r="F76" s="5"/>
      <c r="G76" t="e">
        <f t="shared" si="2"/>
        <v>#N/A</v>
      </c>
    </row>
    <row r="77" spans="1:7" ht="15.75" thickBot="1" x14ac:dyDescent="0.3">
      <c r="A77" s="8">
        <v>74</v>
      </c>
      <c r="B77" s="5"/>
      <c r="C77" s="5"/>
      <c r="D77" s="4" t="s">
        <v>55</v>
      </c>
      <c r="E77" s="6" t="s">
        <v>31</v>
      </c>
      <c r="F77" s="5"/>
      <c r="G77" t="e">
        <f t="shared" si="2"/>
        <v>#N/A</v>
      </c>
    </row>
    <row r="78" spans="1:7" ht="15.75" thickBot="1" x14ac:dyDescent="0.3">
      <c r="A78" s="8">
        <v>75</v>
      </c>
      <c r="B78" s="5"/>
      <c r="C78" s="5"/>
      <c r="D78" s="4" t="s">
        <v>56</v>
      </c>
      <c r="E78" s="6" t="s">
        <v>31</v>
      </c>
      <c r="F78" s="5"/>
      <c r="G78" t="e">
        <f t="shared" si="2"/>
        <v>#N/A</v>
      </c>
    </row>
    <row r="79" spans="1:7" ht="15.75" thickBot="1" x14ac:dyDescent="0.3">
      <c r="A79" s="8">
        <v>76</v>
      </c>
      <c r="B79" s="5"/>
      <c r="C79" s="5"/>
      <c r="D79" s="4" t="s">
        <v>32</v>
      </c>
      <c r="E79" s="6" t="s">
        <v>31</v>
      </c>
      <c r="F79" s="5"/>
      <c r="G79" t="e">
        <f t="shared" si="2"/>
        <v>#N/A</v>
      </c>
    </row>
    <row r="80" spans="1:7" ht="15.75" thickBot="1" x14ac:dyDescent="0.3">
      <c r="A80" s="8">
        <v>77</v>
      </c>
      <c r="B80" s="4" t="s">
        <v>54</v>
      </c>
      <c r="C80" s="5"/>
      <c r="D80" s="4">
        <v>260378</v>
      </c>
      <c r="E80" s="6" t="s">
        <v>22</v>
      </c>
      <c r="F80" s="10" t="s">
        <v>21</v>
      </c>
      <c r="G80" t="str">
        <f t="shared" si="2"/>
        <v>Chôn TC - HCM</v>
      </c>
    </row>
  </sheetData>
  <mergeCells count="6">
    <mergeCell ref="F1:F3"/>
    <mergeCell ref="A1:A3"/>
    <mergeCell ref="B1:B3"/>
    <mergeCell ref="C1:C3"/>
    <mergeCell ref="D1:D3"/>
    <mergeCell ref="E1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7CEF-E4B1-4C47-AD9F-A877716404E4}">
  <dimension ref="A1:AA85"/>
  <sheetViews>
    <sheetView tabSelected="1" showWhiteSpace="0" view="pageLayout" topLeftCell="K35" zoomScale="85" zoomScaleNormal="85" zoomScalePageLayoutView="85" workbookViewId="0">
      <selection activeCell="AA58" sqref="AA58"/>
    </sheetView>
  </sheetViews>
  <sheetFormatPr defaultRowHeight="15" x14ac:dyDescent="0.25"/>
  <cols>
    <col min="1" max="1" width="3.5703125" customWidth="1"/>
    <col min="2" max="2" width="16.5703125" customWidth="1"/>
    <col min="3" max="3" width="11.28515625" bestFit="1" customWidth="1"/>
    <col min="4" max="5" width="10.5703125" bestFit="1" customWidth="1"/>
    <col min="6" max="10" width="10.85546875" bestFit="1" customWidth="1"/>
    <col min="11" max="11" width="11.7109375" bestFit="1" customWidth="1"/>
    <col min="14" max="14" width="45.42578125" bestFit="1" customWidth="1"/>
    <col min="15" max="15" width="7.85546875" bestFit="1" customWidth="1"/>
    <col min="16" max="16" width="14.7109375" customWidth="1"/>
    <col min="17" max="17" width="14.7109375" style="74" customWidth="1"/>
    <col min="18" max="18" width="28.7109375" customWidth="1"/>
    <col min="19" max="19" width="13.140625" bestFit="1" customWidth="1"/>
    <col min="20" max="20" width="14.28515625" bestFit="1" customWidth="1"/>
    <col min="21" max="21" width="15" bestFit="1" customWidth="1"/>
    <col min="22" max="22" width="14.7109375" bestFit="1" customWidth="1"/>
    <col min="23" max="26" width="15" bestFit="1" customWidth="1"/>
    <col min="27" max="27" width="14.7109375" bestFit="1" customWidth="1"/>
  </cols>
  <sheetData>
    <row r="1" spans="1:11" x14ac:dyDescent="0.25">
      <c r="B1" t="s">
        <v>9</v>
      </c>
      <c r="C1" s="62">
        <f>P48</f>
        <v>0.1</v>
      </c>
      <c r="E1" t="s">
        <v>8</v>
      </c>
    </row>
    <row r="2" spans="1:11" x14ac:dyDescent="0.25">
      <c r="C2">
        <v>2026</v>
      </c>
      <c r="D2">
        <v>2027</v>
      </c>
      <c r="E2">
        <v>2028</v>
      </c>
      <c r="F2">
        <v>2029</v>
      </c>
      <c r="G2">
        <v>2030</v>
      </c>
      <c r="H2">
        <v>2031</v>
      </c>
      <c r="I2">
        <v>2032</v>
      </c>
      <c r="J2">
        <v>2033</v>
      </c>
      <c r="K2">
        <v>2034</v>
      </c>
    </row>
    <row r="3" spans="1:11" x14ac:dyDescent="0.25">
      <c r="B3">
        <v>2026</v>
      </c>
      <c r="C3" s="65">
        <f>P47/12*8</f>
        <v>666.66666666666663</v>
      </c>
      <c r="D3" s="1">
        <f>C3-$C3*$C$1</f>
        <v>600</v>
      </c>
      <c r="E3" s="1">
        <f t="shared" ref="E3:K3" si="0">D3-$C3*$C$1</f>
        <v>533.33333333333337</v>
      </c>
      <c r="F3" s="1">
        <f t="shared" si="0"/>
        <v>466.66666666666669</v>
      </c>
      <c r="G3" s="1">
        <f t="shared" si="0"/>
        <v>400</v>
      </c>
      <c r="H3" s="1">
        <f t="shared" si="0"/>
        <v>333.33333333333331</v>
      </c>
      <c r="I3" s="1">
        <f t="shared" si="0"/>
        <v>266.66666666666663</v>
      </c>
      <c r="J3" s="1">
        <f t="shared" si="0"/>
        <v>199.99999999999994</v>
      </c>
      <c r="K3" s="1">
        <f t="shared" si="0"/>
        <v>133.33333333333326</v>
      </c>
    </row>
    <row r="4" spans="1:11" x14ac:dyDescent="0.25">
      <c r="B4">
        <v>2027</v>
      </c>
      <c r="C4" s="1"/>
      <c r="D4" s="64">
        <f>P47</f>
        <v>1000</v>
      </c>
      <c r="E4" s="1">
        <f>D4-$D4*$C$1</f>
        <v>900</v>
      </c>
      <c r="F4" s="1">
        <f t="shared" ref="F4:K4" si="1">E4-$D4*$C$1</f>
        <v>800</v>
      </c>
      <c r="G4" s="1">
        <f t="shared" si="1"/>
        <v>700</v>
      </c>
      <c r="H4" s="1">
        <f t="shared" si="1"/>
        <v>600</v>
      </c>
      <c r="I4" s="1">
        <f t="shared" si="1"/>
        <v>500</v>
      </c>
      <c r="J4" s="1">
        <f t="shared" si="1"/>
        <v>400</v>
      </c>
      <c r="K4" s="1">
        <f t="shared" si="1"/>
        <v>300</v>
      </c>
    </row>
    <row r="5" spans="1:11" x14ac:dyDescent="0.25">
      <c r="B5">
        <v>2028</v>
      </c>
      <c r="C5" s="1"/>
      <c r="D5" s="1"/>
      <c r="E5" s="32">
        <f>D4</f>
        <v>1000</v>
      </c>
      <c r="F5" s="32">
        <f>E5-$E5*$C$1</f>
        <v>900</v>
      </c>
      <c r="G5" s="32">
        <f t="shared" ref="G5:K5" si="2">F5-$E5*$C$1</f>
        <v>800</v>
      </c>
      <c r="H5" s="32">
        <f t="shared" si="2"/>
        <v>700</v>
      </c>
      <c r="I5" s="32">
        <f t="shared" si="2"/>
        <v>600</v>
      </c>
      <c r="J5" s="32">
        <f t="shared" si="2"/>
        <v>500</v>
      </c>
      <c r="K5" s="32">
        <f t="shared" si="2"/>
        <v>400</v>
      </c>
    </row>
    <row r="6" spans="1:11" ht="63.75" x14ac:dyDescent="0.25">
      <c r="A6" s="35" t="s">
        <v>7</v>
      </c>
      <c r="B6">
        <v>2029</v>
      </c>
      <c r="C6" s="1"/>
      <c r="D6" s="1"/>
      <c r="E6" s="32"/>
      <c r="F6" s="32">
        <f>E5</f>
        <v>1000</v>
      </c>
      <c r="G6" s="32">
        <f>F6-$F6*$C$1</f>
        <v>900</v>
      </c>
      <c r="H6" s="32">
        <f t="shared" ref="H6:K6" si="3">G6-$F6*$C$1</f>
        <v>800</v>
      </c>
      <c r="I6" s="32">
        <f t="shared" si="3"/>
        <v>700</v>
      </c>
      <c r="J6" s="32">
        <f t="shared" si="3"/>
        <v>600</v>
      </c>
      <c r="K6" s="32">
        <f t="shared" si="3"/>
        <v>500</v>
      </c>
    </row>
    <row r="7" spans="1:11" x14ac:dyDescent="0.25">
      <c r="B7">
        <v>2030</v>
      </c>
      <c r="C7" s="1"/>
      <c r="D7" s="1"/>
      <c r="E7" s="32"/>
      <c r="F7" s="32"/>
      <c r="G7" s="32">
        <f>F6</f>
        <v>1000</v>
      </c>
      <c r="H7" s="32">
        <f>G7-$G7*$C$1</f>
        <v>900</v>
      </c>
      <c r="I7" s="32">
        <f t="shared" ref="I7:K7" si="4">H7-$G7*$C$1</f>
        <v>800</v>
      </c>
      <c r="J7" s="32">
        <f t="shared" si="4"/>
        <v>700</v>
      </c>
      <c r="K7" s="32">
        <f t="shared" si="4"/>
        <v>600</v>
      </c>
    </row>
    <row r="8" spans="1:11" x14ac:dyDescent="0.25">
      <c r="B8">
        <v>2031</v>
      </c>
      <c r="C8" s="1"/>
      <c r="D8" s="1"/>
      <c r="E8" s="32"/>
      <c r="F8" s="32"/>
      <c r="G8" s="32"/>
      <c r="H8" s="32">
        <f>G7</f>
        <v>1000</v>
      </c>
      <c r="I8" s="32">
        <f>H8-$H8*$C$1</f>
        <v>900</v>
      </c>
      <c r="J8" s="32">
        <f t="shared" ref="J8:K8" si="5">I8-$H8*$C$1</f>
        <v>800</v>
      </c>
      <c r="K8" s="32">
        <f t="shared" si="5"/>
        <v>700</v>
      </c>
    </row>
    <row r="9" spans="1:11" x14ac:dyDescent="0.25">
      <c r="B9">
        <v>2032</v>
      </c>
      <c r="C9" s="1"/>
      <c r="D9" s="1"/>
      <c r="E9" s="32"/>
      <c r="F9" s="32"/>
      <c r="G9" s="32"/>
      <c r="H9" s="32"/>
      <c r="I9" s="32">
        <f>H8</f>
        <v>1000</v>
      </c>
      <c r="J9" s="32">
        <f>I9-$I9*$C$1</f>
        <v>900</v>
      </c>
      <c r="K9" s="32">
        <f>J9-$I9*$C$1</f>
        <v>800</v>
      </c>
    </row>
    <row r="10" spans="1:11" x14ac:dyDescent="0.25">
      <c r="B10">
        <v>2033</v>
      </c>
      <c r="C10" s="1"/>
      <c r="D10" s="1"/>
      <c r="E10" s="32"/>
      <c r="F10" s="32"/>
      <c r="G10" s="32"/>
      <c r="H10" s="32"/>
      <c r="I10" s="32"/>
      <c r="J10" s="32">
        <f>I9</f>
        <v>1000</v>
      </c>
      <c r="K10" s="32">
        <f>J10-$J10*$C$1</f>
        <v>900</v>
      </c>
    </row>
    <row r="11" spans="1:11" x14ac:dyDescent="0.25">
      <c r="B11">
        <v>2034</v>
      </c>
      <c r="C11" s="1"/>
      <c r="D11" s="1"/>
      <c r="E11" s="32"/>
      <c r="F11" s="32"/>
      <c r="G11" s="32"/>
      <c r="H11" s="32"/>
      <c r="I11" s="32"/>
      <c r="J11" s="32"/>
      <c r="K11" s="32">
        <f>J10</f>
        <v>1000</v>
      </c>
    </row>
    <row r="12" spans="1:11" x14ac:dyDescent="0.25">
      <c r="C12" s="34"/>
      <c r="K12" s="34"/>
    </row>
    <row r="13" spans="1:11" x14ac:dyDescent="0.25">
      <c r="D13" s="33">
        <f t="shared" ref="D13:K13" si="6">-SUM(D3:D11)+SUM(C3:C11)+INDEX(D3:D11,MATCH(D2,$B$3:$B$11,0))</f>
        <v>66.666666666666629</v>
      </c>
      <c r="E13" s="33">
        <f t="shared" si="6"/>
        <v>166.66666666666652</v>
      </c>
      <c r="F13" s="33">
        <f t="shared" si="6"/>
        <v>266.66666666666652</v>
      </c>
      <c r="G13" s="33">
        <f t="shared" si="6"/>
        <v>366.66666666666697</v>
      </c>
      <c r="H13" s="33">
        <f t="shared" si="6"/>
        <v>466.66666666666697</v>
      </c>
      <c r="I13" s="33">
        <f t="shared" si="6"/>
        <v>566.66666666666697</v>
      </c>
      <c r="J13" s="33">
        <f t="shared" si="6"/>
        <v>666.66666666666606</v>
      </c>
      <c r="K13" s="33">
        <f t="shared" si="6"/>
        <v>766.66666666666697</v>
      </c>
    </row>
    <row r="15" spans="1:11" x14ac:dyDescent="0.25">
      <c r="B15" t="s">
        <v>73</v>
      </c>
    </row>
    <row r="16" spans="1:11" x14ac:dyDescent="0.25">
      <c r="E16" t="s">
        <v>70</v>
      </c>
    </row>
    <row r="17" spans="1:18" x14ac:dyDescent="0.25">
      <c r="C17">
        <v>2026</v>
      </c>
      <c r="D17">
        <v>2027</v>
      </c>
      <c r="E17">
        <v>2028</v>
      </c>
      <c r="F17">
        <v>2029</v>
      </c>
      <c r="G17">
        <v>2030</v>
      </c>
      <c r="H17">
        <v>2031</v>
      </c>
      <c r="I17">
        <v>2032</v>
      </c>
      <c r="J17">
        <v>2033</v>
      </c>
      <c r="K17">
        <v>2034</v>
      </c>
    </row>
    <row r="18" spans="1:18" x14ac:dyDescent="0.25">
      <c r="B18">
        <v>2026</v>
      </c>
      <c r="C18" s="29">
        <v>0</v>
      </c>
      <c r="D18" s="2">
        <v>0.05</v>
      </c>
      <c r="E18" s="2">
        <v>7.0000000000000007E-2</v>
      </c>
      <c r="F18" s="2">
        <v>7.0000000000000007E-2</v>
      </c>
      <c r="G18" s="2">
        <v>0.1</v>
      </c>
      <c r="H18" s="2">
        <v>0.1</v>
      </c>
      <c r="I18" s="2">
        <v>0.1</v>
      </c>
      <c r="J18" s="2">
        <v>0.1</v>
      </c>
      <c r="K18" s="2">
        <v>0.1</v>
      </c>
    </row>
    <row r="19" spans="1:18" x14ac:dyDescent="0.25">
      <c r="B19">
        <v>2027</v>
      </c>
      <c r="C19" s="2"/>
      <c r="D19" s="29">
        <v>0</v>
      </c>
      <c r="E19" s="2">
        <v>0.05</v>
      </c>
      <c r="F19" s="2">
        <v>7.0000000000000007E-2</v>
      </c>
      <c r="G19" s="2">
        <v>7.0000000000000007E-2</v>
      </c>
      <c r="H19" s="2">
        <v>0.1</v>
      </c>
      <c r="I19" s="2">
        <v>0.1</v>
      </c>
      <c r="J19" s="2">
        <v>0.1</v>
      </c>
      <c r="K19" s="2">
        <v>0.1</v>
      </c>
    </row>
    <row r="20" spans="1:18" x14ac:dyDescent="0.25">
      <c r="B20">
        <v>2028</v>
      </c>
      <c r="C20" s="2"/>
      <c r="D20" s="2"/>
      <c r="E20" s="29">
        <v>0</v>
      </c>
      <c r="F20" s="2">
        <v>0.05</v>
      </c>
      <c r="G20" s="2">
        <v>7.0000000000000007E-2</v>
      </c>
      <c r="H20" s="2">
        <v>7.0000000000000007E-2</v>
      </c>
      <c r="I20" s="2">
        <v>0.1</v>
      </c>
      <c r="J20" s="2">
        <v>0.1</v>
      </c>
      <c r="K20" s="2">
        <v>0.1</v>
      </c>
      <c r="L20" s="2"/>
    </row>
    <row r="21" spans="1:18" x14ac:dyDescent="0.25">
      <c r="B21">
        <v>2029</v>
      </c>
      <c r="C21" s="2"/>
      <c r="D21" s="2"/>
      <c r="E21" s="2"/>
      <c r="F21" s="29">
        <v>0</v>
      </c>
      <c r="G21" s="2">
        <v>0.05</v>
      </c>
      <c r="H21" s="2">
        <v>7.0000000000000007E-2</v>
      </c>
      <c r="I21" s="2">
        <v>7.0000000000000007E-2</v>
      </c>
      <c r="J21" s="2">
        <v>0.1</v>
      </c>
      <c r="K21" s="2">
        <v>0.1</v>
      </c>
      <c r="L21" s="2"/>
      <c r="M21" s="2"/>
    </row>
    <row r="22" spans="1:18" x14ac:dyDescent="0.25">
      <c r="B22">
        <v>2030</v>
      </c>
      <c r="C22" s="2"/>
      <c r="D22" s="2"/>
      <c r="E22" s="2"/>
      <c r="F22" s="2"/>
      <c r="G22" s="29">
        <v>0</v>
      </c>
      <c r="H22" s="2">
        <v>0.05</v>
      </c>
      <c r="I22" s="2">
        <v>7.0000000000000007E-2</v>
      </c>
      <c r="J22" s="2">
        <v>7.0000000000000007E-2</v>
      </c>
      <c r="K22" s="2">
        <v>0.1</v>
      </c>
      <c r="L22" s="2"/>
      <c r="M22" s="2"/>
      <c r="N22" s="2"/>
    </row>
    <row r="23" spans="1:18" x14ac:dyDescent="0.25">
      <c r="B23">
        <v>2031</v>
      </c>
      <c r="C23" s="2"/>
      <c r="D23" s="2"/>
      <c r="E23" s="2"/>
      <c r="F23" s="2"/>
      <c r="G23" s="2"/>
      <c r="H23" s="29">
        <v>0</v>
      </c>
      <c r="I23" s="2">
        <v>0.05</v>
      </c>
      <c r="J23" s="2">
        <v>7.0000000000000007E-2</v>
      </c>
      <c r="K23" s="2">
        <v>7.0000000000000007E-2</v>
      </c>
      <c r="L23" s="2"/>
      <c r="M23" s="2"/>
      <c r="N23" s="2"/>
      <c r="O23" s="2"/>
    </row>
    <row r="24" spans="1:18" ht="63.75" x14ac:dyDescent="0.25">
      <c r="A24" s="35" t="s">
        <v>7</v>
      </c>
      <c r="B24">
        <v>2032</v>
      </c>
      <c r="C24" s="2"/>
      <c r="D24" s="2"/>
      <c r="E24" s="2"/>
      <c r="F24" s="2"/>
      <c r="G24" s="2"/>
      <c r="H24" s="2"/>
      <c r="I24" s="29">
        <v>0</v>
      </c>
      <c r="J24" s="2">
        <v>0.05</v>
      </c>
      <c r="K24" s="2">
        <v>7.0000000000000007E-2</v>
      </c>
      <c r="L24" s="2"/>
      <c r="M24" s="2"/>
      <c r="N24" s="2"/>
      <c r="O24" s="2"/>
      <c r="P24" s="2"/>
      <c r="Q24" s="75"/>
    </row>
    <row r="25" spans="1:18" x14ac:dyDescent="0.25">
      <c r="B25">
        <v>2033</v>
      </c>
      <c r="C25" s="2"/>
      <c r="D25" s="2"/>
      <c r="E25" s="2"/>
      <c r="F25" s="2"/>
      <c r="G25" s="2"/>
      <c r="H25" s="2"/>
      <c r="I25" s="2"/>
      <c r="J25" s="29">
        <v>0</v>
      </c>
      <c r="K25" s="2">
        <v>0.05</v>
      </c>
      <c r="L25" s="2"/>
      <c r="M25" s="2"/>
      <c r="N25" s="2"/>
      <c r="O25" s="2"/>
      <c r="P25" s="2"/>
      <c r="Q25" s="75"/>
      <c r="R25" s="2"/>
    </row>
    <row r="26" spans="1:18" x14ac:dyDescent="0.25">
      <c r="B26">
        <v>2034</v>
      </c>
      <c r="C26" s="2"/>
      <c r="D26" s="2"/>
      <c r="E26" s="2"/>
      <c r="F26" s="2"/>
      <c r="G26" s="2"/>
      <c r="H26" s="2"/>
      <c r="I26" s="2"/>
      <c r="J26" s="2"/>
      <c r="K26" s="2">
        <f>J25</f>
        <v>0</v>
      </c>
    </row>
    <row r="30" spans="1:18" x14ac:dyDescent="0.25">
      <c r="B30" t="s">
        <v>74</v>
      </c>
    </row>
    <row r="31" spans="1:18" x14ac:dyDescent="0.25">
      <c r="C31">
        <v>2026</v>
      </c>
      <c r="D31">
        <v>2027</v>
      </c>
      <c r="E31">
        <v>2028</v>
      </c>
      <c r="F31">
        <v>2029</v>
      </c>
      <c r="G31">
        <v>2030</v>
      </c>
      <c r="H31">
        <v>2031</v>
      </c>
      <c r="I31">
        <v>2032</v>
      </c>
      <c r="J31">
        <v>2033</v>
      </c>
      <c r="K31">
        <v>2034</v>
      </c>
    </row>
    <row r="32" spans="1:18" x14ac:dyDescent="0.25">
      <c r="B32">
        <v>2026</v>
      </c>
      <c r="C32" s="1">
        <f>$C3-C3</f>
        <v>0</v>
      </c>
      <c r="D32" s="1">
        <f t="shared" ref="D32:K32" si="7">C3-D3</f>
        <v>66.666666666666629</v>
      </c>
      <c r="E32" s="1">
        <f t="shared" si="7"/>
        <v>66.666666666666629</v>
      </c>
      <c r="F32" s="1">
        <f t="shared" si="7"/>
        <v>66.666666666666686</v>
      </c>
      <c r="G32" s="1">
        <f t="shared" si="7"/>
        <v>66.666666666666686</v>
      </c>
      <c r="H32" s="1">
        <f t="shared" si="7"/>
        <v>66.666666666666686</v>
      </c>
      <c r="I32" s="1">
        <f t="shared" si="7"/>
        <v>66.666666666666686</v>
      </c>
      <c r="J32" s="1">
        <f t="shared" si="7"/>
        <v>66.666666666666686</v>
      </c>
      <c r="K32" s="1">
        <f t="shared" si="7"/>
        <v>66.666666666666686</v>
      </c>
    </row>
    <row r="33" spans="1:27" x14ac:dyDescent="0.25">
      <c r="B33">
        <v>2027</v>
      </c>
      <c r="D33" s="1">
        <f>$D4-D4</f>
        <v>0</v>
      </c>
      <c r="E33" s="1">
        <f t="shared" ref="E33:K33" si="8">D4-E4</f>
        <v>100</v>
      </c>
      <c r="F33" s="1">
        <f t="shared" si="8"/>
        <v>100</v>
      </c>
      <c r="G33" s="1">
        <f t="shared" si="8"/>
        <v>100</v>
      </c>
      <c r="H33" s="1">
        <f t="shared" si="8"/>
        <v>100</v>
      </c>
      <c r="I33" s="1">
        <f t="shared" si="8"/>
        <v>100</v>
      </c>
      <c r="J33" s="1">
        <f t="shared" si="8"/>
        <v>100</v>
      </c>
      <c r="K33" s="1">
        <f t="shared" si="8"/>
        <v>100</v>
      </c>
    </row>
    <row r="34" spans="1:27" x14ac:dyDescent="0.25">
      <c r="B34">
        <v>2028</v>
      </c>
      <c r="E34" s="1">
        <f>$E5-E5</f>
        <v>0</v>
      </c>
      <c r="F34" s="1">
        <f t="shared" ref="F34:K34" si="9">E5-F5</f>
        <v>100</v>
      </c>
      <c r="G34" s="1">
        <f t="shared" si="9"/>
        <v>100</v>
      </c>
      <c r="H34" s="1">
        <f t="shared" si="9"/>
        <v>100</v>
      </c>
      <c r="I34" s="1">
        <f t="shared" si="9"/>
        <v>100</v>
      </c>
      <c r="J34" s="1">
        <f t="shared" si="9"/>
        <v>100</v>
      </c>
      <c r="K34" s="1">
        <f t="shared" si="9"/>
        <v>100</v>
      </c>
    </row>
    <row r="35" spans="1:27" ht="63.75" x14ac:dyDescent="0.25">
      <c r="A35" s="35" t="s">
        <v>7</v>
      </c>
      <c r="B35">
        <v>2029</v>
      </c>
      <c r="F35" s="1">
        <f>$F6-F6</f>
        <v>0</v>
      </c>
      <c r="G35" s="1">
        <f>F6-G6</f>
        <v>100</v>
      </c>
      <c r="H35" s="1">
        <f>G6-H6</f>
        <v>100</v>
      </c>
      <c r="I35" s="1">
        <f>H6-I6</f>
        <v>100</v>
      </c>
      <c r="J35" s="1">
        <f>I6-J6</f>
        <v>100</v>
      </c>
      <c r="K35" s="1">
        <f>J6-K6</f>
        <v>100</v>
      </c>
      <c r="L35" s="1"/>
    </row>
    <row r="36" spans="1:27" x14ac:dyDescent="0.25">
      <c r="B36">
        <v>2030</v>
      </c>
      <c r="G36" s="1">
        <f>$G7-G7</f>
        <v>0</v>
      </c>
      <c r="H36" s="1">
        <f>G7-H7</f>
        <v>100</v>
      </c>
      <c r="I36" s="1">
        <f>H7-I7</f>
        <v>100</v>
      </c>
      <c r="J36" s="1">
        <f>I7-J7</f>
        <v>100</v>
      </c>
      <c r="K36" s="1">
        <f>J7-K7</f>
        <v>100</v>
      </c>
      <c r="L36" s="1"/>
    </row>
    <row r="37" spans="1:27" x14ac:dyDescent="0.25">
      <c r="B37">
        <v>2031</v>
      </c>
      <c r="H37" s="1">
        <f>$H8-H8</f>
        <v>0</v>
      </c>
      <c r="I37" s="1">
        <f>H8-I8</f>
        <v>100</v>
      </c>
      <c r="J37" s="1">
        <f>I8-J8</f>
        <v>100</v>
      </c>
      <c r="K37" s="1">
        <f>J8-K8</f>
        <v>100</v>
      </c>
      <c r="L37" s="1"/>
    </row>
    <row r="38" spans="1:27" x14ac:dyDescent="0.25">
      <c r="B38">
        <v>2032</v>
      </c>
      <c r="I38" s="1">
        <f>$I9-I9</f>
        <v>0</v>
      </c>
      <c r="J38" s="1">
        <f>I9-J9</f>
        <v>100</v>
      </c>
      <c r="K38" s="1">
        <f>J9-K9</f>
        <v>100</v>
      </c>
    </row>
    <row r="39" spans="1:27" x14ac:dyDescent="0.25">
      <c r="B39">
        <v>2033</v>
      </c>
      <c r="J39" s="1">
        <f>$J10-J10</f>
        <v>0</v>
      </c>
      <c r="K39" s="1">
        <f>J10-K10</f>
        <v>100</v>
      </c>
    </row>
    <row r="40" spans="1:27" x14ac:dyDescent="0.25">
      <c r="B40">
        <v>2034</v>
      </c>
      <c r="K40" s="1">
        <f>$K11-K11</f>
        <v>0</v>
      </c>
    </row>
    <row r="41" spans="1:27" x14ac:dyDescent="0.25">
      <c r="N41" s="36" t="s">
        <v>1</v>
      </c>
    </row>
    <row r="42" spans="1:27" x14ac:dyDescent="0.25">
      <c r="S42" s="68" t="s">
        <v>86</v>
      </c>
      <c r="T42" s="68" t="s">
        <v>87</v>
      </c>
      <c r="U42" s="68" t="s">
        <v>88</v>
      </c>
      <c r="V42" s="68" t="s">
        <v>89</v>
      </c>
      <c r="W42" s="68" t="s">
        <v>90</v>
      </c>
      <c r="X42" s="68" t="s">
        <v>91</v>
      </c>
      <c r="Y42" s="68" t="s">
        <v>102</v>
      </c>
      <c r="Z42" s="68" t="s">
        <v>103</v>
      </c>
      <c r="AA42" s="68" t="s">
        <v>104</v>
      </c>
    </row>
    <row r="43" spans="1:27" x14ac:dyDescent="0.25">
      <c r="B43" t="s">
        <v>75</v>
      </c>
      <c r="R43" t="s">
        <v>106</v>
      </c>
      <c r="S43" s="69">
        <v>2026</v>
      </c>
      <c r="T43" s="69">
        <f>S43+1</f>
        <v>2027</v>
      </c>
      <c r="U43" s="69">
        <f t="shared" ref="U43:X43" si="10">T43+1</f>
        <v>2028</v>
      </c>
      <c r="V43" s="69">
        <f t="shared" si="10"/>
        <v>2029</v>
      </c>
      <c r="W43" s="69">
        <f t="shared" si="10"/>
        <v>2030</v>
      </c>
      <c r="X43" s="69">
        <f t="shared" si="10"/>
        <v>2031</v>
      </c>
      <c r="Y43" s="69">
        <f t="shared" ref="Y43:Z43" si="11">X43+1</f>
        <v>2032</v>
      </c>
      <c r="Z43" s="69">
        <f t="shared" si="11"/>
        <v>2033</v>
      </c>
      <c r="AA43" s="69">
        <f t="shared" ref="AA43" si="12">Z43+1</f>
        <v>2034</v>
      </c>
    </row>
    <row r="44" spans="1:27" x14ac:dyDescent="0.25">
      <c r="C44">
        <v>2026</v>
      </c>
      <c r="D44">
        <v>2027</v>
      </c>
      <c r="E44">
        <v>2028</v>
      </c>
      <c r="F44">
        <v>2029</v>
      </c>
      <c r="G44">
        <v>2030</v>
      </c>
      <c r="H44">
        <v>2031</v>
      </c>
      <c r="I44">
        <v>2032</v>
      </c>
      <c r="J44">
        <v>2033</v>
      </c>
      <c r="K44">
        <v>2034</v>
      </c>
      <c r="N44" s="37" t="s">
        <v>2</v>
      </c>
      <c r="O44" s="38" t="s">
        <v>5</v>
      </c>
      <c r="P44" s="39" t="s">
        <v>81</v>
      </c>
      <c r="Q44" s="76"/>
      <c r="R44" t="s">
        <v>4</v>
      </c>
      <c r="S44" s="34">
        <f>C3</f>
        <v>666.66666666666663</v>
      </c>
      <c r="T44" s="83">
        <f>P47</f>
        <v>1000</v>
      </c>
      <c r="U44" s="83">
        <f>T44</f>
        <v>1000</v>
      </c>
      <c r="V44" s="83">
        <f t="shared" ref="V44:AA44" si="13">U44</f>
        <v>1000</v>
      </c>
      <c r="W44" s="83">
        <f t="shared" si="13"/>
        <v>1000</v>
      </c>
      <c r="X44" s="83">
        <f t="shared" si="13"/>
        <v>1000</v>
      </c>
      <c r="Y44" s="83">
        <f t="shared" si="13"/>
        <v>1000</v>
      </c>
      <c r="Z44" s="83">
        <f t="shared" si="13"/>
        <v>1000</v>
      </c>
      <c r="AA44" s="83">
        <f t="shared" si="13"/>
        <v>1000</v>
      </c>
    </row>
    <row r="45" spans="1:27" x14ac:dyDescent="0.25">
      <c r="B45">
        <v>2026</v>
      </c>
      <c r="C45" s="1">
        <f>C32*(1-C18)</f>
        <v>0</v>
      </c>
      <c r="D45" s="1">
        <f t="shared" ref="D45:K45" si="14">D32*(1-D18)</f>
        <v>63.333333333333293</v>
      </c>
      <c r="E45" s="1">
        <f t="shared" si="14"/>
        <v>61.999999999999957</v>
      </c>
      <c r="F45" s="1">
        <f t="shared" si="14"/>
        <v>62.000000000000014</v>
      </c>
      <c r="G45" s="1">
        <f t="shared" si="14"/>
        <v>60.000000000000021</v>
      </c>
      <c r="H45" s="1">
        <f t="shared" si="14"/>
        <v>60.000000000000021</v>
      </c>
      <c r="I45" s="1">
        <f t="shared" si="14"/>
        <v>60.000000000000021</v>
      </c>
      <c r="J45" s="1">
        <f t="shared" si="14"/>
        <v>60.000000000000021</v>
      </c>
      <c r="K45" s="1">
        <f t="shared" si="14"/>
        <v>60.000000000000021</v>
      </c>
      <c r="N45" s="40" t="s">
        <v>3</v>
      </c>
      <c r="O45" s="41"/>
      <c r="P45" s="42"/>
      <c r="Q45" s="76"/>
      <c r="R45" t="s">
        <v>108</v>
      </c>
      <c r="S45" s="1">
        <f>S44*SUMPRODUCT($P$49:$P$52,$P$54:$P$57)</f>
        <v>71766.666666666672</v>
      </c>
      <c r="T45" s="1">
        <f t="shared" ref="T45:AA45" si="15">T44*SUMPRODUCT($P$49:$P$52,$P$54:$P$57)</f>
        <v>107650</v>
      </c>
      <c r="U45" s="1">
        <f t="shared" si="15"/>
        <v>107650</v>
      </c>
      <c r="V45" s="1">
        <f t="shared" si="15"/>
        <v>107650</v>
      </c>
      <c r="W45" s="1">
        <f t="shared" si="15"/>
        <v>107650</v>
      </c>
      <c r="X45" s="1">
        <f t="shared" si="15"/>
        <v>107650</v>
      </c>
      <c r="Y45" s="1">
        <f t="shared" si="15"/>
        <v>107650</v>
      </c>
      <c r="Z45" s="1">
        <f t="shared" si="15"/>
        <v>107650</v>
      </c>
      <c r="AA45" s="1">
        <f t="shared" si="15"/>
        <v>107650</v>
      </c>
    </row>
    <row r="46" spans="1:27" x14ac:dyDescent="0.25">
      <c r="B46">
        <v>2027</v>
      </c>
      <c r="D46" s="1">
        <f t="shared" ref="D46:K46" si="16">D33*(1-D19)</f>
        <v>0</v>
      </c>
      <c r="E46" s="1">
        <f t="shared" si="16"/>
        <v>95</v>
      </c>
      <c r="F46" s="1">
        <f t="shared" si="16"/>
        <v>93</v>
      </c>
      <c r="G46" s="1">
        <f t="shared" si="16"/>
        <v>93</v>
      </c>
      <c r="H46" s="1">
        <f t="shared" si="16"/>
        <v>90</v>
      </c>
      <c r="I46" s="1">
        <f t="shared" si="16"/>
        <v>90</v>
      </c>
      <c r="J46" s="1">
        <f t="shared" si="16"/>
        <v>90</v>
      </c>
      <c r="K46" s="1">
        <f t="shared" si="16"/>
        <v>90</v>
      </c>
      <c r="N46" s="43" t="s">
        <v>94</v>
      </c>
      <c r="O46" s="44" t="s">
        <v>80</v>
      </c>
      <c r="P46" s="45">
        <v>2</v>
      </c>
      <c r="Q46" s="72"/>
      <c r="R46" t="s">
        <v>95</v>
      </c>
      <c r="S46" s="1">
        <v>0</v>
      </c>
      <c r="T46" s="1">
        <f>D13</f>
        <v>66.666666666666629</v>
      </c>
      <c r="U46" s="1">
        <f>E13</f>
        <v>166.66666666666652</v>
      </c>
      <c r="V46" s="1">
        <f>F13</f>
        <v>266.66666666666652</v>
      </c>
      <c r="W46" s="1">
        <f>G13</f>
        <v>366.66666666666697</v>
      </c>
      <c r="X46" s="1">
        <f>H13</f>
        <v>466.66666666666697</v>
      </c>
      <c r="Y46" s="1">
        <f>I13</f>
        <v>566.66666666666697</v>
      </c>
      <c r="Z46" s="1">
        <f>J13</f>
        <v>666.66666666666606</v>
      </c>
      <c r="AA46" s="1">
        <f>K13</f>
        <v>766.66666666666697</v>
      </c>
    </row>
    <row r="47" spans="1:27" x14ac:dyDescent="0.25">
      <c r="B47">
        <v>2028</v>
      </c>
      <c r="E47" s="1">
        <f t="shared" ref="E47:K47" si="17">E34*(1-E20)</f>
        <v>0</v>
      </c>
      <c r="F47" s="1">
        <f t="shared" si="17"/>
        <v>95</v>
      </c>
      <c r="G47" s="1">
        <f t="shared" si="17"/>
        <v>93</v>
      </c>
      <c r="H47" s="1">
        <f t="shared" si="17"/>
        <v>93</v>
      </c>
      <c r="I47" s="1">
        <f t="shared" si="17"/>
        <v>90</v>
      </c>
      <c r="J47" s="1">
        <f t="shared" si="17"/>
        <v>90</v>
      </c>
      <c r="K47" s="1">
        <f t="shared" si="17"/>
        <v>90</v>
      </c>
      <c r="N47" s="43" t="s">
        <v>4</v>
      </c>
      <c r="O47" s="44" t="s">
        <v>6</v>
      </c>
      <c r="P47" s="63">
        <v>1000</v>
      </c>
      <c r="Q47" s="72"/>
      <c r="R47" t="s">
        <v>92</v>
      </c>
      <c r="S47" s="1">
        <f>C55*SUMPRODUCT($P$49:$P$52,$P$54:$P$57)-S46*$P$46</f>
        <v>0</v>
      </c>
      <c r="T47" s="1">
        <f>D55*SUMPRODUCT($P$49:$P$52,$P$54:$P$57)-T46*$P$46</f>
        <v>6684.4999999999964</v>
      </c>
      <c r="U47" s="1">
        <f>E55*SUMPRODUCT($P$49:$P$52,$P$54:$P$57)-U46*$P$46</f>
        <v>16567.716666666664</v>
      </c>
      <c r="V47" s="1">
        <f>F55*SUMPRODUCT($P$49:$P$52,$P$54:$P$57)-V46*$P$46</f>
        <v>26379.166666666668</v>
      </c>
      <c r="W47" s="1">
        <f>G55*SUMPRODUCT($P$49:$P$52,$P$54:$P$57)-W46*$P$46</f>
        <v>35975.316666666666</v>
      </c>
      <c r="X47" s="1">
        <f>H55*SUMPRODUCT($P$49:$P$52,$P$54:$P$57)-X46*$P$46</f>
        <v>45463.816666666666</v>
      </c>
      <c r="Y47" s="1">
        <f>I55*SUMPRODUCT($P$49:$P$52,$P$54:$P$57)-Y46*$P$46</f>
        <v>54952.316666666666</v>
      </c>
      <c r="Z47" s="1">
        <f>J55*SUMPRODUCT($P$49:$P$52,$P$54:$P$57)-Z46*$P$46</f>
        <v>64440.81666666668</v>
      </c>
      <c r="AA47" s="1">
        <f>K55*SUMPRODUCT($P$49:$P$52,$P$54:$P$57)-AA46*$P$46</f>
        <v>73929.31666666668</v>
      </c>
    </row>
    <row r="48" spans="1:27" x14ac:dyDescent="0.25">
      <c r="B48">
        <v>2029</v>
      </c>
      <c r="F48" s="1">
        <f t="shared" ref="F48:K48" si="18">F35*(1-F21)</f>
        <v>0</v>
      </c>
      <c r="G48" s="1">
        <f t="shared" si="18"/>
        <v>95</v>
      </c>
      <c r="H48" s="1">
        <f t="shared" si="18"/>
        <v>93</v>
      </c>
      <c r="I48" s="1">
        <f t="shared" si="18"/>
        <v>93</v>
      </c>
      <c r="J48" s="1">
        <f t="shared" si="18"/>
        <v>90</v>
      </c>
      <c r="K48" s="1">
        <f t="shared" si="18"/>
        <v>90</v>
      </c>
      <c r="N48" s="43" t="s">
        <v>10</v>
      </c>
      <c r="O48" s="44" t="s">
        <v>0</v>
      </c>
      <c r="P48" s="66">
        <v>0.1</v>
      </c>
      <c r="Q48" s="77"/>
      <c r="R48" t="s">
        <v>93</v>
      </c>
      <c r="S48" s="1">
        <f>C3*P46</f>
        <v>1333.3333333333333</v>
      </c>
      <c r="T48" s="1">
        <f>$P$47*$P$46</f>
        <v>2000</v>
      </c>
      <c r="U48" s="1">
        <f t="shared" ref="U48:AA48" si="19">$P$47*$P$46</f>
        <v>2000</v>
      </c>
      <c r="V48" s="1">
        <f t="shared" si="19"/>
        <v>2000</v>
      </c>
      <c r="W48" s="1">
        <f t="shared" si="19"/>
        <v>2000</v>
      </c>
      <c r="X48" s="1">
        <f t="shared" si="19"/>
        <v>2000</v>
      </c>
      <c r="Y48" s="1">
        <f t="shared" si="19"/>
        <v>2000</v>
      </c>
      <c r="Z48" s="1">
        <f t="shared" si="19"/>
        <v>2000</v>
      </c>
      <c r="AA48" s="1">
        <f t="shared" si="19"/>
        <v>2000</v>
      </c>
    </row>
    <row r="49" spans="2:27" x14ac:dyDescent="0.25">
      <c r="B49">
        <v>2030</v>
      </c>
      <c r="G49" s="1">
        <f t="shared" ref="G49:K49" si="20">G36*(1-G22)</f>
        <v>0</v>
      </c>
      <c r="H49" s="1">
        <f t="shared" si="20"/>
        <v>95</v>
      </c>
      <c r="I49" s="1">
        <f t="shared" si="20"/>
        <v>93</v>
      </c>
      <c r="J49" s="1">
        <f t="shared" si="20"/>
        <v>93</v>
      </c>
      <c r="K49" s="1">
        <f t="shared" si="20"/>
        <v>90</v>
      </c>
      <c r="N49" s="46" t="s">
        <v>66</v>
      </c>
      <c r="O49" s="47" t="s">
        <v>0</v>
      </c>
      <c r="P49" s="55">
        <v>0.1</v>
      </c>
      <c r="Q49" s="78"/>
    </row>
    <row r="50" spans="2:27" x14ac:dyDescent="0.25">
      <c r="B50">
        <v>2031</v>
      </c>
      <c r="H50" s="1">
        <f t="shared" ref="H50:K50" si="21">H37*(1-H23)</f>
        <v>0</v>
      </c>
      <c r="I50" s="1">
        <f t="shared" si="21"/>
        <v>95</v>
      </c>
      <c r="J50" s="1">
        <f t="shared" si="21"/>
        <v>93</v>
      </c>
      <c r="K50" s="1">
        <f t="shared" si="21"/>
        <v>93</v>
      </c>
      <c r="N50" s="46" t="s">
        <v>67</v>
      </c>
      <c r="O50" s="47" t="s">
        <v>0</v>
      </c>
      <c r="P50" s="55">
        <v>0.4</v>
      </c>
      <c r="Q50" s="78"/>
      <c r="R50" s="30" t="s">
        <v>96</v>
      </c>
      <c r="S50" s="61">
        <f>SUM(S47:S48)</f>
        <v>1333.3333333333333</v>
      </c>
      <c r="T50" s="61">
        <f t="shared" ref="T50:X50" si="22">SUM(T47:T48)</f>
        <v>8684.4999999999964</v>
      </c>
      <c r="U50" s="61">
        <f t="shared" si="22"/>
        <v>18567.716666666664</v>
      </c>
      <c r="V50" s="61">
        <f t="shared" si="22"/>
        <v>28379.166666666668</v>
      </c>
      <c r="W50" s="61">
        <f t="shared" si="22"/>
        <v>37975.316666666666</v>
      </c>
      <c r="X50" s="61">
        <f t="shared" si="22"/>
        <v>47463.816666666666</v>
      </c>
      <c r="Y50" s="61">
        <f t="shared" ref="Y50:Z50" si="23">SUM(Y47:Y48)</f>
        <v>56952.316666666666</v>
      </c>
      <c r="Z50" s="61">
        <f t="shared" si="23"/>
        <v>66440.81666666668</v>
      </c>
      <c r="AA50" s="61">
        <f t="shared" ref="AA50" si="24">SUM(AA47:AA48)</f>
        <v>75929.31666666668</v>
      </c>
    </row>
    <row r="51" spans="2:27" x14ac:dyDescent="0.25">
      <c r="B51">
        <v>2032</v>
      </c>
      <c r="I51" s="1">
        <f t="shared" ref="I51:K51" si="25">I38*(1-I24)</f>
        <v>0</v>
      </c>
      <c r="J51" s="1">
        <f t="shared" si="25"/>
        <v>95</v>
      </c>
      <c r="K51" s="1">
        <f t="shared" si="25"/>
        <v>93</v>
      </c>
      <c r="N51" s="46" t="s">
        <v>68</v>
      </c>
      <c r="O51" s="47" t="s">
        <v>0</v>
      </c>
      <c r="P51" s="55">
        <v>0.35</v>
      </c>
      <c r="Q51" s="78"/>
      <c r="S51" s="1"/>
      <c r="T51" s="1"/>
      <c r="U51" s="1"/>
      <c r="V51" s="1"/>
      <c r="W51" s="1"/>
      <c r="X51" s="1"/>
      <c r="Y51" s="1"/>
      <c r="Z51" s="1"/>
      <c r="AA51" s="1"/>
    </row>
    <row r="52" spans="2:27" x14ac:dyDescent="0.25">
      <c r="B52">
        <v>2033</v>
      </c>
      <c r="J52" s="1">
        <f t="shared" ref="J52:K52" si="26">J39*(1-J25)</f>
        <v>0</v>
      </c>
      <c r="K52" s="1">
        <f t="shared" si="26"/>
        <v>95</v>
      </c>
      <c r="N52" s="46" t="s">
        <v>69</v>
      </c>
      <c r="O52" s="47" t="s">
        <v>0</v>
      </c>
      <c r="P52" s="55">
        <v>0.15</v>
      </c>
      <c r="Q52" s="79"/>
      <c r="S52" s="1"/>
      <c r="T52" s="1"/>
      <c r="U52" s="1"/>
      <c r="V52" s="1"/>
      <c r="W52" s="1"/>
      <c r="X52" s="1"/>
      <c r="Y52" s="1"/>
      <c r="Z52" s="1"/>
      <c r="AA52" s="1"/>
    </row>
    <row r="53" spans="2:27" x14ac:dyDescent="0.25">
      <c r="B53">
        <v>2034</v>
      </c>
      <c r="K53" s="1">
        <f>K40*(1-K26)</f>
        <v>0</v>
      </c>
      <c r="N53" s="46"/>
      <c r="O53" s="47"/>
      <c r="P53" s="48"/>
      <c r="Q53" s="80"/>
      <c r="R53" t="s">
        <v>97</v>
      </c>
      <c r="S53" s="1">
        <f>S46*SUMPRODUCT($P$49:$P$52,$P$54:$P$57)*$P$68</f>
        <v>0</v>
      </c>
      <c r="T53" s="1">
        <f>T46*SUMPRODUCT($P$49:$P$52,$P$54:$P$57)*$P$68</f>
        <v>3947.1666666666652</v>
      </c>
      <c r="U53" s="1">
        <f>U46*SUMPRODUCT($P$49:$P$52,$P$54:$P$57)*$P$68</f>
        <v>9867.9166666666588</v>
      </c>
      <c r="V53" s="1">
        <f>V46*SUMPRODUCT($P$49:$P$52,$P$54:$P$57)*$P$68</f>
        <v>15788.666666666661</v>
      </c>
      <c r="W53" s="1">
        <f>W46*SUMPRODUCT($P$49:$P$52,$P$54:$P$57)*$P$68</f>
        <v>21709.416666666686</v>
      </c>
      <c r="X53" s="1">
        <f>X46*SUMPRODUCT($P$49:$P$52,$P$54:$P$57)*$P$68</f>
        <v>27630.166666666686</v>
      </c>
      <c r="Y53" s="1">
        <f>Y46*SUMPRODUCT($P$49:$P$52,$P$54:$P$57)*$P$68</f>
        <v>33550.916666666686</v>
      </c>
      <c r="Z53" s="1">
        <f>Z46*SUMPRODUCT($P$49:$P$52,$P$54:$P$57)*$P$68</f>
        <v>39471.666666666635</v>
      </c>
      <c r="AA53" s="1">
        <f>AA46*SUMPRODUCT($P$49:$P$52,$P$54:$P$57)*$P$68</f>
        <v>45392.416666666686</v>
      </c>
    </row>
    <row r="54" spans="2:27" x14ac:dyDescent="0.25">
      <c r="N54" s="46" t="s">
        <v>76</v>
      </c>
      <c r="O54" s="44" t="s">
        <v>80</v>
      </c>
      <c r="P54" s="50">
        <v>209</v>
      </c>
      <c r="Q54" s="81"/>
      <c r="R54" t="s">
        <v>72</v>
      </c>
      <c r="S54" s="1">
        <f>$P$61*S$45</f>
        <v>717.66666666666674</v>
      </c>
      <c r="T54" s="1">
        <f t="shared" ref="T54:AA54" si="27">$P$61*T$45</f>
        <v>1076.5</v>
      </c>
      <c r="U54" s="1">
        <f t="shared" si="27"/>
        <v>1076.5</v>
      </c>
      <c r="V54" s="1">
        <f t="shared" si="27"/>
        <v>1076.5</v>
      </c>
      <c r="W54" s="1">
        <f t="shared" si="27"/>
        <v>1076.5</v>
      </c>
      <c r="X54" s="1">
        <f t="shared" si="27"/>
        <v>1076.5</v>
      </c>
      <c r="Y54" s="1">
        <f t="shared" si="27"/>
        <v>1076.5</v>
      </c>
      <c r="Z54" s="1">
        <f t="shared" si="27"/>
        <v>1076.5</v>
      </c>
      <c r="AA54" s="1">
        <f t="shared" si="27"/>
        <v>1076.5</v>
      </c>
    </row>
    <row r="55" spans="2:27" x14ac:dyDescent="0.25">
      <c r="D55" s="33">
        <f>SUM(D45:D54)</f>
        <v>63.333333333333293</v>
      </c>
      <c r="E55" s="33">
        <f t="shared" ref="E55:K55" si="28">SUM(E45:E54)</f>
        <v>156.99999999999994</v>
      </c>
      <c r="F55" s="33">
        <f t="shared" si="28"/>
        <v>250</v>
      </c>
      <c r="G55" s="33">
        <f t="shared" si="28"/>
        <v>341</v>
      </c>
      <c r="H55" s="33">
        <f t="shared" si="28"/>
        <v>431</v>
      </c>
      <c r="I55" s="33">
        <f t="shared" si="28"/>
        <v>521</v>
      </c>
      <c r="J55" s="33">
        <f t="shared" si="28"/>
        <v>611</v>
      </c>
      <c r="K55" s="33">
        <f t="shared" si="28"/>
        <v>701</v>
      </c>
      <c r="N55" s="46" t="s">
        <v>77</v>
      </c>
      <c r="O55" s="44" t="s">
        <v>80</v>
      </c>
      <c r="P55" s="50">
        <v>129</v>
      </c>
      <c r="Q55" s="81"/>
      <c r="R55" s="43" t="s">
        <v>83</v>
      </c>
      <c r="S55" s="1">
        <f>$P$62*S$45</f>
        <v>2153</v>
      </c>
      <c r="T55" s="1">
        <f t="shared" ref="T55:AA55" si="29">$P$62*T$45</f>
        <v>3229.5</v>
      </c>
      <c r="U55" s="1">
        <f t="shared" si="29"/>
        <v>3229.5</v>
      </c>
      <c r="V55" s="1">
        <f t="shared" si="29"/>
        <v>3229.5</v>
      </c>
      <c r="W55" s="1">
        <f t="shared" si="29"/>
        <v>3229.5</v>
      </c>
      <c r="X55" s="1">
        <f t="shared" si="29"/>
        <v>3229.5</v>
      </c>
      <c r="Y55" s="1">
        <f t="shared" si="29"/>
        <v>3229.5</v>
      </c>
      <c r="Z55" s="1">
        <f t="shared" si="29"/>
        <v>3229.5</v>
      </c>
      <c r="AA55" s="1">
        <f t="shared" si="29"/>
        <v>3229.5</v>
      </c>
    </row>
    <row r="56" spans="2:27" x14ac:dyDescent="0.25">
      <c r="N56" s="46" t="s">
        <v>78</v>
      </c>
      <c r="O56" s="44" t="s">
        <v>80</v>
      </c>
      <c r="P56" s="50">
        <v>79</v>
      </c>
      <c r="Q56" s="81"/>
      <c r="R56" t="s">
        <v>107</v>
      </c>
      <c r="S56" s="1">
        <v>0</v>
      </c>
      <c r="T56" s="1">
        <f>$P$64*T50</f>
        <v>173.68999999999994</v>
      </c>
      <c r="U56" s="1">
        <f t="shared" ref="U56:AA56" si="30">$P$64*U50</f>
        <v>371.35433333333327</v>
      </c>
      <c r="V56" s="1">
        <f t="shared" si="30"/>
        <v>567.58333333333337</v>
      </c>
      <c r="W56" s="1">
        <f t="shared" si="30"/>
        <v>759.50633333333337</v>
      </c>
      <c r="X56" s="1">
        <f t="shared" si="30"/>
        <v>949.27633333333335</v>
      </c>
      <c r="Y56" s="1">
        <f t="shared" si="30"/>
        <v>1139.0463333333335</v>
      </c>
      <c r="Z56" s="1">
        <f t="shared" si="30"/>
        <v>1328.8163333333337</v>
      </c>
      <c r="AA56" s="1">
        <f t="shared" si="30"/>
        <v>1518.5863333333336</v>
      </c>
    </row>
    <row r="57" spans="2:27" x14ac:dyDescent="0.25">
      <c r="N57" s="46" t="s">
        <v>79</v>
      </c>
      <c r="O57" s="44" t="s">
        <v>80</v>
      </c>
      <c r="P57" s="50">
        <v>50</v>
      </c>
      <c r="Q57" s="81"/>
      <c r="R57" s="30" t="s">
        <v>109</v>
      </c>
      <c r="S57" s="61">
        <f>SUM(S53:S56)</f>
        <v>2870.666666666667</v>
      </c>
      <c r="T57" s="61">
        <f t="shared" ref="T57:AA57" si="31">SUM(T53:T56)</f>
        <v>8426.8566666666648</v>
      </c>
      <c r="U57" s="61">
        <f t="shared" si="31"/>
        <v>14545.270999999992</v>
      </c>
      <c r="V57" s="61">
        <f t="shared" si="31"/>
        <v>20662.249999999993</v>
      </c>
      <c r="W57" s="61">
        <f t="shared" si="31"/>
        <v>26774.923000000021</v>
      </c>
      <c r="X57" s="61">
        <f t="shared" si="31"/>
        <v>32885.443000000021</v>
      </c>
      <c r="Y57" s="61">
        <f t="shared" si="31"/>
        <v>38995.963000000018</v>
      </c>
      <c r="Z57" s="61">
        <f t="shared" si="31"/>
        <v>45106.482999999971</v>
      </c>
      <c r="AA57" s="61">
        <f t="shared" si="31"/>
        <v>51217.003000000019</v>
      </c>
    </row>
    <row r="58" spans="2:27" x14ac:dyDescent="0.25">
      <c r="N58" s="43"/>
      <c r="O58" s="44"/>
      <c r="R58" t="s">
        <v>110</v>
      </c>
      <c r="S58" s="34">
        <f>S50-S57</f>
        <v>-1537.3333333333337</v>
      </c>
      <c r="T58" s="34">
        <f t="shared" ref="T58:AA58" si="32">T50-T57</f>
        <v>257.64333333333161</v>
      </c>
      <c r="U58" s="34">
        <f t="shared" si="32"/>
        <v>4022.445666666672</v>
      </c>
      <c r="V58" s="34">
        <f t="shared" si="32"/>
        <v>7716.9166666666752</v>
      </c>
      <c r="W58" s="34">
        <f t="shared" si="32"/>
        <v>11200.393666666645</v>
      </c>
      <c r="X58" s="34">
        <f t="shared" si="32"/>
        <v>14578.373666666645</v>
      </c>
      <c r="Y58" s="34">
        <f t="shared" si="32"/>
        <v>17956.353666666648</v>
      </c>
      <c r="Z58" s="34">
        <f t="shared" si="32"/>
        <v>21334.333666666709</v>
      </c>
      <c r="AA58" s="34">
        <f t="shared" si="32"/>
        <v>24712.313666666661</v>
      </c>
    </row>
    <row r="59" spans="2:27" x14ac:dyDescent="0.25">
      <c r="N59" s="37" t="s">
        <v>71</v>
      </c>
      <c r="O59" s="38" t="s">
        <v>5</v>
      </c>
      <c r="P59" s="39" t="s">
        <v>82</v>
      </c>
      <c r="Q59" s="76"/>
    </row>
    <row r="60" spans="2:27" x14ac:dyDescent="0.25">
      <c r="R60" s="49" t="s">
        <v>84</v>
      </c>
      <c r="S60" s="1">
        <f>$P63*12</f>
        <v>60</v>
      </c>
      <c r="T60" s="1">
        <f>S60*(1+$P$67)</f>
        <v>66</v>
      </c>
      <c r="U60" s="1">
        <f>T60*(1+$P$67)</f>
        <v>72.600000000000009</v>
      </c>
      <c r="V60" s="1">
        <f>U60*(1+$P$67)</f>
        <v>79.860000000000014</v>
      </c>
      <c r="W60" s="1">
        <f>V60*(1+$P$67)</f>
        <v>87.846000000000018</v>
      </c>
      <c r="X60" s="1">
        <f>W60*(1+$P$67)</f>
        <v>96.63060000000003</v>
      </c>
      <c r="Y60" s="1">
        <f>X60*(1+$P$67)</f>
        <v>106.29366000000005</v>
      </c>
      <c r="Z60" s="1">
        <f>Y60*(1+$P$67)</f>
        <v>116.92302600000006</v>
      </c>
      <c r="AA60" s="1">
        <f>Z60*(1+$P$67)</f>
        <v>128.61532860000008</v>
      </c>
    </row>
    <row r="61" spans="2:27" x14ac:dyDescent="0.25">
      <c r="N61" s="43" t="s">
        <v>114</v>
      </c>
      <c r="O61" s="44" t="s">
        <v>80</v>
      </c>
      <c r="P61" s="84">
        <v>0.01</v>
      </c>
      <c r="Q61" s="81"/>
      <c r="R61" s="49" t="s">
        <v>85</v>
      </c>
      <c r="S61" s="1">
        <f>$P66*12</f>
        <v>120</v>
      </c>
      <c r="T61" s="1">
        <f>S61*(1+$P$67)</f>
        <v>132</v>
      </c>
      <c r="U61" s="1">
        <f>T61*(1+$P$67)</f>
        <v>145.20000000000002</v>
      </c>
      <c r="V61" s="1">
        <f>U61*(1+$P$67)</f>
        <v>159.72000000000003</v>
      </c>
      <c r="W61" s="1">
        <f>V61*(1+$P$67)</f>
        <v>175.69200000000004</v>
      </c>
      <c r="X61" s="1">
        <f>W61*(1+$P$67)</f>
        <v>193.26120000000006</v>
      </c>
      <c r="Y61" s="1">
        <f>X61*(1+$P$67)</f>
        <v>212.58732000000009</v>
      </c>
      <c r="Z61" s="1">
        <f>Y61*(1+$P$67)</f>
        <v>233.84605200000013</v>
      </c>
      <c r="AA61" s="1">
        <f>Z61*(1+$P$67)</f>
        <v>257.23065720000017</v>
      </c>
    </row>
    <row r="62" spans="2:27" x14ac:dyDescent="0.25">
      <c r="N62" s="43" t="s">
        <v>113</v>
      </c>
      <c r="O62" s="44" t="s">
        <v>80</v>
      </c>
      <c r="P62" s="84">
        <v>0.03</v>
      </c>
      <c r="Q62" s="72"/>
    </row>
    <row r="63" spans="2:27" x14ac:dyDescent="0.25">
      <c r="N63" s="49" t="s">
        <v>84</v>
      </c>
      <c r="O63" s="44" t="s">
        <v>80</v>
      </c>
      <c r="P63" s="50">
        <v>5</v>
      </c>
      <c r="Q63" s="81"/>
      <c r="R63" s="30" t="s">
        <v>99</v>
      </c>
      <c r="S63" s="1">
        <f>S58-S60-S61</f>
        <v>-1717.3333333333337</v>
      </c>
      <c r="T63" s="1">
        <f t="shared" ref="T63:AA63" si="33">T58-T60-T61</f>
        <v>59.643333333331611</v>
      </c>
      <c r="U63" s="1">
        <f t="shared" si="33"/>
        <v>3804.6456666666722</v>
      </c>
      <c r="V63" s="1">
        <f t="shared" si="33"/>
        <v>7477.3366666666752</v>
      </c>
      <c r="W63" s="1">
        <f t="shared" si="33"/>
        <v>10936.855666666645</v>
      </c>
      <c r="X63" s="1">
        <f t="shared" si="33"/>
        <v>14288.481866666643</v>
      </c>
      <c r="Y63" s="1">
        <f t="shared" si="33"/>
        <v>17637.47268666665</v>
      </c>
      <c r="Z63" s="1">
        <f t="shared" si="33"/>
        <v>20983.564588666708</v>
      </c>
      <c r="AA63" s="1">
        <f t="shared" si="33"/>
        <v>24326.467680866659</v>
      </c>
    </row>
    <row r="64" spans="2:27" x14ac:dyDescent="0.25">
      <c r="N64" s="70" t="s">
        <v>112</v>
      </c>
      <c r="O64" s="71" t="s">
        <v>0</v>
      </c>
      <c r="P64" s="84">
        <v>0.02</v>
      </c>
      <c r="Q64" s="75"/>
      <c r="AA64" s="1"/>
    </row>
    <row r="65" spans="14:25" x14ac:dyDescent="0.25">
      <c r="N65" s="70" t="s">
        <v>115</v>
      </c>
      <c r="O65" s="71" t="s">
        <v>0</v>
      </c>
      <c r="P65" s="84">
        <v>0.05</v>
      </c>
      <c r="Q65" s="81"/>
    </row>
    <row r="66" spans="14:25" x14ac:dyDescent="0.25">
      <c r="N66" s="49" t="s">
        <v>85</v>
      </c>
      <c r="O66" s="44" t="s">
        <v>80</v>
      </c>
      <c r="P66" s="50">
        <v>10</v>
      </c>
      <c r="Q66" s="73"/>
      <c r="R66" t="s">
        <v>101</v>
      </c>
      <c r="S66" s="1">
        <f>SUM(S63:AA63)</f>
        <v>97797.134822866647</v>
      </c>
    </row>
    <row r="67" spans="14:25" x14ac:dyDescent="0.25">
      <c r="N67" s="28" t="s">
        <v>98</v>
      </c>
      <c r="O67" s="51" t="s">
        <v>0</v>
      </c>
      <c r="P67" s="54">
        <v>0.1</v>
      </c>
      <c r="Q67" s="82"/>
      <c r="R67" t="s">
        <v>105</v>
      </c>
      <c r="S67" s="1">
        <f>AVERAGE(T46:AA46)</f>
        <v>416.66666666666669</v>
      </c>
    </row>
    <row r="68" spans="14:25" x14ac:dyDescent="0.25">
      <c r="N68" s="28" t="s">
        <v>116</v>
      </c>
      <c r="O68" s="51" t="s">
        <v>0</v>
      </c>
      <c r="P68" s="67">
        <f>50%+P65</f>
        <v>0.55000000000000004</v>
      </c>
    </row>
    <row r="69" spans="14:25" x14ac:dyDescent="0.25">
      <c r="R69" t="s">
        <v>111</v>
      </c>
    </row>
    <row r="70" spans="14:25" x14ac:dyDescent="0.25">
      <c r="N70" s="70" t="s">
        <v>117</v>
      </c>
    </row>
    <row r="71" spans="14:25" x14ac:dyDescent="0.25">
      <c r="N71" s="70" t="s">
        <v>118</v>
      </c>
      <c r="T71" s="56" t="s">
        <v>100</v>
      </c>
      <c r="U71" s="56"/>
      <c r="V71" s="56"/>
      <c r="W71" s="56"/>
      <c r="X71" s="56"/>
      <c r="Y71" s="56"/>
    </row>
    <row r="72" spans="14:25" x14ac:dyDescent="0.25">
      <c r="S72" s="33">
        <f>S66</f>
        <v>97797.134822866647</v>
      </c>
      <c r="T72" s="1">
        <v>1000</v>
      </c>
      <c r="U72" s="1">
        <v>2000</v>
      </c>
      <c r="V72" s="1">
        <v>5000</v>
      </c>
      <c r="W72" s="1">
        <f t="shared" ref="W72:Y72" si="34">V72+5000</f>
        <v>10000</v>
      </c>
      <c r="X72" s="1">
        <f t="shared" si="34"/>
        <v>15000</v>
      </c>
      <c r="Y72" s="1">
        <f t="shared" si="34"/>
        <v>20000</v>
      </c>
    </row>
    <row r="73" spans="14:25" ht="15" customHeight="1" x14ac:dyDescent="0.25">
      <c r="R73" s="57" t="s">
        <v>94</v>
      </c>
      <c r="S73">
        <v>1</v>
      </c>
      <c r="T73" s="1">
        <f t="dataTable" ref="T73:Y77" dt2D="1" dtr="1" r1="P47" r2="P46" ca="1"/>
        <v>92557.134822866647</v>
      </c>
      <c r="U73" s="1">
        <v>187558.57548953331</v>
      </c>
      <c r="V73" s="1">
        <v>472562.89748953306</v>
      </c>
      <c r="W73" s="1">
        <v>947570.1008228662</v>
      </c>
      <c r="X73" s="1">
        <v>1422577.3041562</v>
      </c>
      <c r="Y73" s="1">
        <v>1897584.5074895325</v>
      </c>
    </row>
    <row r="74" spans="14:25" x14ac:dyDescent="0.25">
      <c r="R74" s="57"/>
      <c r="S74">
        <v>2</v>
      </c>
      <c r="T74" s="1">
        <v>97797.134822866647</v>
      </c>
      <c r="U74" s="1">
        <v>198038.57548953331</v>
      </c>
      <c r="V74" s="32">
        <v>498762.897489533</v>
      </c>
      <c r="W74" s="31">
        <v>999970.10082286596</v>
      </c>
      <c r="X74" s="1">
        <v>1501177.3041562</v>
      </c>
      <c r="Y74" s="1">
        <v>2002384.507489532</v>
      </c>
    </row>
    <row r="75" spans="14:25" x14ac:dyDescent="0.25">
      <c r="R75" s="57"/>
      <c r="S75">
        <v>5</v>
      </c>
      <c r="T75" s="1">
        <v>113517.13482286665</v>
      </c>
      <c r="U75" s="1">
        <v>229478.57548953331</v>
      </c>
      <c r="V75" s="1">
        <v>577362.89748953306</v>
      </c>
      <c r="W75" s="1">
        <v>1157170.100822866</v>
      </c>
      <c r="X75" s="1">
        <v>1736977.3041562</v>
      </c>
      <c r="Y75" s="1">
        <v>2316784.5074895318</v>
      </c>
    </row>
    <row r="76" spans="14:25" x14ac:dyDescent="0.25">
      <c r="R76" s="57"/>
      <c r="S76">
        <v>10</v>
      </c>
      <c r="T76" s="1">
        <v>139717.13482286662</v>
      </c>
      <c r="U76" s="1">
        <v>281878.57548953331</v>
      </c>
      <c r="V76" s="1">
        <v>708362.89748953306</v>
      </c>
      <c r="W76" s="1">
        <v>1419170.1008228662</v>
      </c>
      <c r="X76" s="1">
        <v>2129977.3041562</v>
      </c>
      <c r="Y76" s="1">
        <v>2840784.5074895322</v>
      </c>
    </row>
    <row r="77" spans="14:25" x14ac:dyDescent="0.25">
      <c r="R77" s="57"/>
      <c r="S77">
        <v>15</v>
      </c>
      <c r="T77" s="1">
        <v>165917.13482286662</v>
      </c>
      <c r="U77" s="1">
        <v>334278.57548953331</v>
      </c>
      <c r="V77" s="1">
        <v>839362.89748953306</v>
      </c>
      <c r="W77" s="1">
        <v>1681170.1008228662</v>
      </c>
      <c r="X77" s="1">
        <v>2522977.3041562</v>
      </c>
      <c r="Y77" s="1">
        <v>3364784.5074895322</v>
      </c>
    </row>
    <row r="79" spans="14:25" x14ac:dyDescent="0.25">
      <c r="T79" s="52" t="s">
        <v>100</v>
      </c>
      <c r="U79" s="52"/>
      <c r="V79" s="52"/>
      <c r="W79" s="52"/>
      <c r="X79" s="52"/>
      <c r="Y79" s="52"/>
    </row>
    <row r="80" spans="14:25" x14ac:dyDescent="0.25">
      <c r="S80" s="1">
        <f>S67</f>
        <v>416.66666666666669</v>
      </c>
      <c r="T80" s="1">
        <v>1000</v>
      </c>
      <c r="U80" s="1">
        <v>2000</v>
      </c>
      <c r="V80" s="1">
        <v>5000</v>
      </c>
      <c r="W80" s="1">
        <f t="shared" ref="W80:Y80" si="35">V80+5000</f>
        <v>10000</v>
      </c>
      <c r="X80" s="1">
        <f t="shared" si="35"/>
        <v>15000</v>
      </c>
      <c r="Y80" s="1">
        <f t="shared" si="35"/>
        <v>20000</v>
      </c>
    </row>
    <row r="81" spans="18:25" ht="36.75" x14ac:dyDescent="0.25">
      <c r="R81" s="53" t="s">
        <v>10</v>
      </c>
      <c r="S81" s="29">
        <v>0.05</v>
      </c>
      <c r="T81" s="1">
        <f t="dataTable" ref="T81:Y85" dt2D="1" dtr="1" r1="P47" r2="P48"/>
        <v>208.33333333333331</v>
      </c>
      <c r="U81" s="1">
        <v>416.66666666666663</v>
      </c>
      <c r="V81" s="1">
        <v>1041.6666666666665</v>
      </c>
      <c r="W81" s="1">
        <v>2083.333333333333</v>
      </c>
      <c r="X81" s="1">
        <v>3125</v>
      </c>
      <c r="Y81" s="1">
        <v>4166.6666666666661</v>
      </c>
    </row>
    <row r="82" spans="18:25" x14ac:dyDescent="0.25">
      <c r="R82" s="53"/>
      <c r="S82" s="29">
        <v>0.1</v>
      </c>
      <c r="T82" s="1">
        <v>416.66666666666669</v>
      </c>
      <c r="U82" s="1">
        <v>833.33333333333337</v>
      </c>
      <c r="V82" s="1">
        <v>2083.3333333333339</v>
      </c>
      <c r="W82" s="31">
        <v>4166.6666666666679</v>
      </c>
      <c r="X82" s="1">
        <v>6250</v>
      </c>
      <c r="Y82" s="1">
        <v>8333.3333333333358</v>
      </c>
    </row>
    <row r="83" spans="18:25" x14ac:dyDescent="0.25">
      <c r="R83" s="53"/>
      <c r="S83" s="29">
        <v>0.15</v>
      </c>
      <c r="T83" s="1">
        <v>625</v>
      </c>
      <c r="U83" s="1">
        <v>1250</v>
      </c>
      <c r="V83" s="1">
        <v>3125</v>
      </c>
      <c r="W83" s="1">
        <v>6250</v>
      </c>
      <c r="X83" s="1">
        <v>9375</v>
      </c>
      <c r="Y83" s="1">
        <v>12500</v>
      </c>
    </row>
    <row r="84" spans="18:25" x14ac:dyDescent="0.25">
      <c r="R84" s="53"/>
      <c r="S84" s="29">
        <v>0.2</v>
      </c>
      <c r="T84" s="1">
        <v>833.33333333333337</v>
      </c>
      <c r="U84" s="1">
        <v>1666.6666666666667</v>
      </c>
      <c r="V84" s="1">
        <v>4166.6666666666661</v>
      </c>
      <c r="W84" s="1">
        <v>8333.3333333333321</v>
      </c>
      <c r="X84" s="1">
        <v>12500</v>
      </c>
      <c r="Y84" s="1">
        <v>16666.666666666664</v>
      </c>
    </row>
    <row r="85" spans="18:25" x14ac:dyDescent="0.25">
      <c r="R85" s="53"/>
      <c r="S85" s="29">
        <v>0.25</v>
      </c>
      <c r="T85" s="1">
        <v>1041.6666666666667</v>
      </c>
      <c r="U85" s="1">
        <v>2083.3333333333335</v>
      </c>
      <c r="V85" s="1">
        <v>5208.333333333333</v>
      </c>
      <c r="W85" s="1">
        <v>10416.666666666666</v>
      </c>
      <c r="X85" s="1">
        <v>15625</v>
      </c>
      <c r="Y85" s="1">
        <v>20833.333333333332</v>
      </c>
    </row>
  </sheetData>
  <mergeCells count="2">
    <mergeCell ref="T71:Y71"/>
    <mergeCell ref="R73:R77"/>
  </mergeCells>
  <pageMargins left="0.7" right="0.7" top="0.75" bottom="0.75" header="0.3" footer="0.3"/>
  <pageSetup paperSize="9" scale="39" orientation="portrait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Th3</vt:lpstr>
      <vt:lpstr>Cohort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Nguyen</dc:creator>
  <cp:lastModifiedBy>Vu Ton</cp:lastModifiedBy>
  <dcterms:created xsi:type="dcterms:W3CDTF">2026-04-07T07:45:24Z</dcterms:created>
  <dcterms:modified xsi:type="dcterms:W3CDTF">2026-04-08T08:33:35Z</dcterms:modified>
</cp:coreProperties>
</file>